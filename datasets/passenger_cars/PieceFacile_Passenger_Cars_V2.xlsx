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1️⃣ Brands" sheetId="2" state="visible" r:id="rId4"/>
    <sheet name="2️⃣ Models" sheetId="3" state="visible" r:id="rId5"/>
    <sheet name="3️⃣ Statistics" sheetId="4" state="visible" r:id="rId6"/>
    <sheet name="4️⃣ Hierarchy View" sheetId="5" state="visible" r:id="rId7"/>
    <sheet name="5️⃣ Database Mapping" sheetId="6" state="visible" r:id="rId8"/>
    <sheet name="6️⃣ Import 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<sst xmlns="http://schemas.openxmlformats.org/spreadsheetml/2006/main" count="2203" uniqueCount="1288">
  <si>
    <t xml:space="preserve">PieceFacile Passenger Cars — V2</t>
  </si>
  <si>
    <t xml:space="preserve">Official Passenger Cars reference dataset · built on the PieceFacile Dataset Standard V1 · Algeria-first · Supabase/PostgreSQL-ready</t>
  </si>
  <si>
    <t xml:space="preserve">INSTRUCTIONS</t>
  </si>
  <si>
    <t xml:space="preserve">• This workbook is a production dataset built strictly on PieceFacile_Dataset_Standard_V1. Sheet order, columns, formatting, and rules are identical to the Standard; only the data differs.</t>
  </si>
  <si>
    <t xml:space="preserve">• Data sheets (1️⃣ Brands, 2️⃣ Models) contain only real, production brands and models curated Algeria-first: installed fleet size, aging fleets still requiring parts, and local assembly presence drive the Popularity Algeria (dz_tier) ranking.</t>
  </si>
  <si>
    <t xml:space="preserve">• All rows in this dataset are Status = 'active'. If a future entry needs confirmation, mark it 'draft' — draft rows are never imported.</t>
  </si>
  <si>
    <t xml:space="preserve">• V1 structural scope applies: no Families, Generations, Engines, VIN, OEM numbers, Compatibility, Trim Levels, or Technical Specifications.</t>
  </si>
  <si>
    <t xml:space="preserve">Dataset Metadata</t>
  </si>
  <si>
    <t xml:space="preserve">Dataset Name</t>
  </si>
  <si>
    <t xml:space="preserve">PieceFacile_Passenger_Cars_V2</t>
  </si>
  <si>
    <t xml:space="preserve">Follows the Standard's naming convention PieceFacile_&lt;Category&gt;_V&lt;n&gt;</t>
  </si>
  <si>
    <t xml:space="preserve">Category</t>
  </si>
  <si>
    <t xml:space="preserve">Passenger Cars</t>
  </si>
  <si>
    <t xml:space="preserve">Category code: passenger_car</t>
  </si>
  <si>
    <t xml:space="preserve">Version</t>
  </si>
  <si>
    <t xml:space="preserve">2.0</t>
  </si>
  <si>
    <t xml:space="preserve">Full reconstruction on Dataset Standard V1; supersedes Passenger Cars V1</t>
  </si>
  <si>
    <t xml:space="preserve">Market</t>
  </si>
  <si>
    <t xml:space="preserve">Algeria (DZ)</t>
  </si>
  <si>
    <t xml:space="preserve">All datasets are scoped Algeria-first</t>
  </si>
  <si>
    <t xml:space="preserve">Description</t>
  </si>
  <si>
    <t xml:space="preserve">Master reference dataset of passenger car brands and models for the PieceFacile spare-parts marketplace.</t>
  </si>
  <si>
    <t xml:space="preserve">Largest PieceFacile category; European, American, Asian and Russian marques, active and historically important</t>
  </si>
  <si>
    <t xml:space="preserve">Scope</t>
  </si>
  <si>
    <t xml:space="preserve">Brands and Models only. Passenger cars sold or commonly used in Algeria; production models only, no concepts or prototypes.</t>
  </si>
  <si>
    <t xml:space="preserve">Covers current importers/assemblers and legacy fleets still generating parts demand</t>
  </si>
  <si>
    <t xml:space="preserve">Maintainer</t>
  </si>
  <si>
    <t xml:space="preserve">PieceFacile Data Team</t>
  </si>
  <si>
    <t xml:space="preserve">Person or team responsible for updates</t>
  </si>
  <si>
    <t xml:space="preserve">Source</t>
  </si>
  <si>
    <t xml:space="preserve">Curated: DZ importer/assembler landscape (Tafraoui-Oran, Oued Tlélat, Tiaret-TMC, Batna-Gloviz, Relizane-SOVAC programs), fleet knowledge, manufacturer catalogs, Algerian automotive press.</t>
  </si>
  <si>
    <t xml:space="preserve">All entries verified as real production marques/models</t>
  </si>
  <si>
    <t xml:space="preserve">Last Update</t>
  </si>
  <si>
    <t xml:space="preserve">2026-07-02</t>
  </si>
  <si>
    <t xml:space="preserve">ISO date (YYYY-MM-DD) of the most recent edit</t>
  </si>
  <si>
    <t xml:space="preserve">Statistics (live — calculated from the data sheets)</t>
  </si>
  <si>
    <t xml:space="preserve">Total Brands</t>
  </si>
  <si>
    <t xml:space="preserve">Auto-calculated — do not type over this formula.</t>
  </si>
  <si>
    <t xml:space="preserve">Total Models</t>
  </si>
  <si>
    <t xml:space="preserve">Active Brands</t>
  </si>
  <si>
    <t xml:space="preserve">Active Models</t>
  </si>
  <si>
    <t xml:space="preserve">Import Notes</t>
  </si>
  <si>
    <t xml:space="preserve">• Import order into Supabase/PostgreSQL: vehicle_categories → brands → models (parents before children).</t>
  </si>
  <si>
    <t xml:space="preserve">• Export each data sheet to CSV (UTF-8) before import, or use the Supabase table editor / SQL COPY.</t>
  </si>
  <si>
    <t xml:space="preserve">• IDs in this workbook are human-readable business keys (e.g. BRD-0001). Database primary keys are generated by Postgres; store the business key in the 'external_ref' column defined on the 5️⃣ Database Mapping sheet.</t>
  </si>
  <si>
    <t xml:space="preserve">• Validate against the 6️⃣ Import Rules sheet before every import: required fields, unique slugs, and normalization rules.</t>
  </si>
  <si>
    <t xml:space="preserve">• Never import rows with Status = 'draft' (none currently in this dataset; the gate still applies to future edits).</t>
  </si>
  <si>
    <t xml:space="preserve">1️⃣ Brands</t>
  </si>
  <si>
    <t xml:space="preserve">One row per passenger car brand · sorted by Popularity Algeria, then Brand Name</t>
  </si>
  <si>
    <t xml:space="preserve">• One row = one brand. Never duplicate a Brand Name or Slug (see 6️⃣ Import Rules).</t>
  </si>
  <si>
    <t xml:space="preserve">• Brand ID format: BRD-#### (zero-padded, sequential, never reused). Slug: lowercase, hyphenated, ASCII only.</t>
  </si>
  <si>
    <t xml:space="preserve">• Popularity Algeria uses the dz_tier scale: 1 = very high demand · 2 = high · 3 = medium · 4 = low/niche. Ranked by installed fleet, historical fleets still needing parts, and local assembly presence.</t>
  </si>
  <si>
    <t xml:space="preserve">• Status: 'active' (importable) or 'draft' (excluded from import). Historic marques (Daewoo…) stay 'active' because their legacy fleets still generate parts demand.</t>
  </si>
  <si>
    <t xml:space="preserve">Column descriptions ↓</t>
  </si>
  <si>
    <t xml:space="preserve">Business key. Format BRD-#### . Unique, sequential, never reused.</t>
  </si>
  <si>
    <t xml:space="preserve">Official brand name, English/Latin spelling (e.g. Renault, Hyundai).</t>
  </si>
  <si>
    <t xml:space="preserve">URL-safe identifier: lowercase, a–z 0–9 and hyphens only, unique.</t>
  </si>
  <si>
    <t xml:space="preserve">Country of origin (ISO English name, e.g. France, China).</t>
  </si>
  <si>
    <t xml:space="preserve">Owning group if any (e.g. Stellantis, Volkswagen Group). 'Historic' if defunct.</t>
  </si>
  <si>
    <t xml:space="preserve">Comma-separated aliases &amp; local spellings incl. Arabic/French variants.</t>
  </si>
  <si>
    <t xml:space="preserve">dz_tier 1–4. 1 = very high parts demand in Algeria … 4 = niche.</t>
  </si>
  <si>
    <t xml:space="preserve">'active' or 'draft'. Only 'active' rows are imported.</t>
  </si>
  <si>
    <t xml:space="preserve">Free text: local assembly, import history, fleet context, caveats.</t>
  </si>
  <si>
    <t xml:space="preserve">Brand ID</t>
  </si>
  <si>
    <t xml:space="preserve">Brand Name</t>
  </si>
  <si>
    <t xml:space="preserve">Slug</t>
  </si>
  <si>
    <t xml:space="preserve">Country</t>
  </si>
  <si>
    <t xml:space="preserve">Parent Group</t>
  </si>
  <si>
    <t xml:space="preserve">Alternative Names</t>
  </si>
  <si>
    <t xml:space="preserve">Popularity Algeria</t>
  </si>
  <si>
    <t xml:space="preserve">Status</t>
  </si>
  <si>
    <t xml:space="preserve">Notes</t>
  </si>
  <si>
    <t xml:space="preserve">BRD-0001</t>
  </si>
  <si>
    <t xml:space="preserve">Dacia</t>
  </si>
  <si>
    <t xml:space="preserve">dacia</t>
  </si>
  <si>
    <t xml:space="preserve">Romania</t>
  </si>
  <si>
    <t xml:space="preserve">Renault Group</t>
  </si>
  <si>
    <t xml:space="preserve">داسيا</t>
  </si>
  <si>
    <t xml:space="preserve">active</t>
  </si>
  <si>
    <t xml:space="preserve">Logan/Sandero/Duster trio dominates the affordable segment; one of the largest fleets on Algerian roads.</t>
  </si>
  <si>
    <t xml:space="preserve">BRD-0002</t>
  </si>
  <si>
    <t xml:space="preserve">Fiat</t>
  </si>
  <si>
    <t xml:space="preserve">fiat</t>
  </si>
  <si>
    <t xml:space="preserve">Italy</t>
  </si>
  <si>
    <t xml:space="preserve">Stellantis</t>
  </si>
  <si>
    <t xml:space="preserve">فيات</t>
  </si>
  <si>
    <t xml:space="preserve">Spearhead of the market relaunch: local production at Tafraoui (Oran) incl. the 500, Doblò and Grande Panda; strong Uno/Punto legacy fleet.</t>
  </si>
  <si>
    <t xml:space="preserve">BRD-0003</t>
  </si>
  <si>
    <t xml:space="preserve">Hyundai</t>
  </si>
  <si>
    <t xml:space="preserve">hyundai</t>
  </si>
  <si>
    <t xml:space="preserve">South Korea</t>
  </si>
  <si>
    <t xml:space="preserve">Hyundai Motor Group</t>
  </si>
  <si>
    <t xml:space="preserve">هيونداي</t>
  </si>
  <si>
    <t xml:space="preserve">Top Asian marque; i10/Accent/Tucson era assembled at Tiaret under the TMC program; very large multi-generation fleet.</t>
  </si>
  <si>
    <t xml:space="preserve">BRD-0004</t>
  </si>
  <si>
    <t xml:space="preserve">Kia</t>
  </si>
  <si>
    <t xml:space="preserve">kia</t>
  </si>
  <si>
    <t xml:space="preserve">كيا</t>
  </si>
  <si>
    <t xml:space="preserve">Picanto/Rio/Sportage assembled at Batna under the Gloviz program; broad installed base.</t>
  </si>
  <si>
    <t xml:space="preserve">BRD-0005</t>
  </si>
  <si>
    <t xml:space="preserve">Peugeot</t>
  </si>
  <si>
    <t xml:space="preserve">peugeot</t>
  </si>
  <si>
    <t xml:space="preserve">France</t>
  </si>
  <si>
    <t xml:space="preserve">بيجو</t>
  </si>
  <si>
    <t xml:space="preserve">Historic pillar of the Algerian fleet from the 405/504 era to the 208/301; relentless parts demand across generations.</t>
  </si>
  <si>
    <t xml:space="preserve">BRD-0006</t>
  </si>
  <si>
    <t xml:space="preserve">Renault</t>
  </si>
  <si>
    <t xml:space="preserve">renault</t>
  </si>
  <si>
    <t xml:space="preserve">رونو</t>
  </si>
  <si>
    <t xml:space="preserve">Market leader for decades; Symbol produced at Oued Tlélat (Oran), plant relaunch underway; iconic legacy from the R4/R12 onward.</t>
  </si>
  <si>
    <t xml:space="preserve">BRD-0007</t>
  </si>
  <si>
    <t xml:space="preserve">Toyota</t>
  </si>
  <si>
    <t xml:space="preserve">toyota</t>
  </si>
  <si>
    <t xml:space="preserve">Japan</t>
  </si>
  <si>
    <t xml:space="preserve">Toyota Motor</t>
  </si>
  <si>
    <t xml:space="preserve">تويوتا</t>
  </si>
  <si>
    <t xml:space="preserve">Reliability benchmark; Yaris/Corolla plus a strong Land Cruiser culture in the south.</t>
  </si>
  <si>
    <t xml:space="preserve">BRD-0008</t>
  </si>
  <si>
    <t xml:space="preserve">Volkswagen</t>
  </si>
  <si>
    <t xml:space="preserve">volkswagen</t>
  </si>
  <si>
    <t xml:space="preserve">Germany</t>
  </si>
  <si>
    <t xml:space="preserve">Volkswagen Group</t>
  </si>
  <si>
    <t xml:space="preserve">فولكس فاغن, VW</t>
  </si>
  <si>
    <t xml:space="preserve">Golf/Polo icons with huge fleets; SOVAC assembly program at Relizane covered VW, Seat and Skoda.</t>
  </si>
  <si>
    <t xml:space="preserve">BRD-0009</t>
  </si>
  <si>
    <t xml:space="preserve">BMW</t>
  </si>
  <si>
    <t xml:space="preserve">bmw</t>
  </si>
  <si>
    <t xml:space="preserve">BMW Group</t>
  </si>
  <si>
    <t xml:space="preserve">بي إم دبليو</t>
  </si>
  <si>
    <t xml:space="preserve">Premium staple; strong 3/5 Series presence across import waves.</t>
  </si>
  <si>
    <t xml:space="preserve">BRD-0010</t>
  </si>
  <si>
    <t xml:space="preserve">Chery</t>
  </si>
  <si>
    <t xml:space="preserve">chery</t>
  </si>
  <si>
    <t xml:space="preserve">China</t>
  </si>
  <si>
    <t xml:space="preserve">Chery Automobile</t>
  </si>
  <si>
    <t xml:space="preserve">شيري</t>
  </si>
  <si>
    <t xml:space="preserve">QQ made the brand a household name in the 2000s; returned with a renewed range and a DZ industrial program.</t>
  </si>
  <si>
    <t xml:space="preserve">BRD-0011</t>
  </si>
  <si>
    <t xml:space="preserve">Chevrolet</t>
  </si>
  <si>
    <t xml:space="preserve">chevrolet</t>
  </si>
  <si>
    <t xml:space="preserve">United States</t>
  </si>
  <si>
    <t xml:space="preserve">General Motors</t>
  </si>
  <si>
    <t xml:space="preserve">شيفروليه</t>
  </si>
  <si>
    <t xml:space="preserve">Major 2005–2015 player via the Diamal network; Spark/Aveo/Optra fleets still large.</t>
  </si>
  <si>
    <t xml:space="preserve">BRD-0012</t>
  </si>
  <si>
    <t xml:space="preserve">Citroën</t>
  </si>
  <si>
    <t xml:space="preserve">citroen</t>
  </si>
  <si>
    <t xml:space="preserve">سيتروين, Citroen</t>
  </si>
  <si>
    <t xml:space="preserve">Deep French-fleet heritage from AX/ZX to C3/C-Elysée.</t>
  </si>
  <si>
    <t xml:space="preserve">BRD-0013</t>
  </si>
  <si>
    <t xml:space="preserve">Daewoo</t>
  </si>
  <si>
    <t xml:space="preserve">daewoo</t>
  </si>
  <si>
    <t xml:space="preserve">Historic (absorbed by GM Korea)</t>
  </si>
  <si>
    <t xml:space="preserve">دايو</t>
  </si>
  <si>
    <t xml:space="preserve">1990s import-wave giant; Tico/Matiz/Cielo fleets created lasting parts demand.</t>
  </si>
  <si>
    <t xml:space="preserve">BRD-0014</t>
  </si>
  <si>
    <t xml:space="preserve">Ford</t>
  </si>
  <si>
    <t xml:space="preserve">ford</t>
  </si>
  <si>
    <t xml:space="preserve">Ford Motor Company</t>
  </si>
  <si>
    <t xml:space="preserve">فورد</t>
  </si>
  <si>
    <t xml:space="preserve">Fiesta/Focus mainstays through successive import waves.</t>
  </si>
  <si>
    <t xml:space="preserve">BRD-0015</t>
  </si>
  <si>
    <t xml:space="preserve">Geely</t>
  </si>
  <si>
    <t xml:space="preserve">geely</t>
  </si>
  <si>
    <t xml:space="preserve">Geely Holding</t>
  </si>
  <si>
    <t xml:space="preserve">جيلي</t>
  </si>
  <si>
    <t xml:space="preserve">Fast-rising Chinese marque of the market reopening, with an announced DZ industrial project.</t>
  </si>
  <si>
    <t xml:space="preserve">BRD-0016</t>
  </si>
  <si>
    <t xml:space="preserve">Mercedes-Benz</t>
  </si>
  <si>
    <t xml:space="preserve">mercedes-benz</t>
  </si>
  <si>
    <t xml:space="preserve">Mercedes-Benz Group</t>
  </si>
  <si>
    <t xml:space="preserve">مرسيدس</t>
  </si>
  <si>
    <t xml:space="preserve">Premium reference; the W201 190 remains an Algerian legend with strong legacy demand.</t>
  </si>
  <si>
    <t xml:space="preserve">BRD-0017</t>
  </si>
  <si>
    <t xml:space="preserve">Mitsubishi</t>
  </si>
  <si>
    <t xml:space="preserve">mitsubishi</t>
  </si>
  <si>
    <t xml:space="preserve">Mitsubishi Motors</t>
  </si>
  <si>
    <t xml:space="preserve">ميتسوبيشي</t>
  </si>
  <si>
    <t xml:space="preserve">Lancer sedans and Pajero 4x4s earned durable reputations.</t>
  </si>
  <si>
    <t xml:space="preserve">BRD-0018</t>
  </si>
  <si>
    <t xml:space="preserve">Nissan</t>
  </si>
  <si>
    <t xml:space="preserve">nissan</t>
  </si>
  <si>
    <t xml:space="preserve">Nissan Motor</t>
  </si>
  <si>
    <t xml:space="preserve">نيسان</t>
  </si>
  <si>
    <t xml:space="preserve">Micra/Sunny fleets plus Qashqai crossovers and Patrol 4x4 heritage.</t>
  </si>
  <si>
    <t xml:space="preserve">BRD-0019</t>
  </si>
  <si>
    <t xml:space="preserve">Opel</t>
  </si>
  <si>
    <t xml:space="preserve">opel</t>
  </si>
  <si>
    <t xml:space="preserve">أوبل</t>
  </si>
  <si>
    <t xml:space="preserve">Corsa/Astra fleets from the 1990s–2000s; brand relaunched in DZ under Stellantis.</t>
  </si>
  <si>
    <t xml:space="preserve">BRD-0020</t>
  </si>
  <si>
    <t xml:space="preserve">Seat</t>
  </si>
  <si>
    <t xml:space="preserve">seat</t>
  </si>
  <si>
    <t xml:space="preserve">Spain</t>
  </si>
  <si>
    <t xml:space="preserve">سيات, SEAT</t>
  </si>
  <si>
    <t xml:space="preserve">Ibiza/Leon widely present; assembled locally during the SOVAC Relizane program.</t>
  </si>
  <si>
    <t xml:space="preserve">BRD-0021</t>
  </si>
  <si>
    <t xml:space="preserve">Skoda</t>
  </si>
  <si>
    <t xml:space="preserve">skoda</t>
  </si>
  <si>
    <t xml:space="preserve">Czech Republic</t>
  </si>
  <si>
    <t xml:space="preserve">شكودا, Škoda</t>
  </si>
  <si>
    <t xml:space="preserve">Fabia/Octavia value staples; part of the SOVAC assembly program.</t>
  </si>
  <si>
    <t xml:space="preserve">BRD-0022</t>
  </si>
  <si>
    <t xml:space="preserve">Suzuki</t>
  </si>
  <si>
    <t xml:space="preserve">suzuki</t>
  </si>
  <si>
    <t xml:space="preserve">Suzuki Motor</t>
  </si>
  <si>
    <t xml:space="preserve">سوزوكي</t>
  </si>
  <si>
    <t xml:space="preserve">Alto/Celerio entry cars and Swift hatchbacks with wide urban fleets; Maruti-built units included.</t>
  </si>
  <si>
    <t xml:space="preserve">BRD-0023</t>
  </si>
  <si>
    <t xml:space="preserve">Audi</t>
  </si>
  <si>
    <t xml:space="preserve">audi</t>
  </si>
  <si>
    <t xml:space="preserve">أودي</t>
  </si>
  <si>
    <t xml:space="preserve">Premium presence via import waves; A-sedan and Q-SUV fleets.</t>
  </si>
  <si>
    <t xml:space="preserve">BRD-0024</t>
  </si>
  <si>
    <t xml:space="preserve">BAIC</t>
  </si>
  <si>
    <t xml:space="preserve">baic</t>
  </si>
  <si>
    <t xml:space="preserve">BAIC Group</t>
  </si>
  <si>
    <t xml:space="preserve">بايك</t>
  </si>
  <si>
    <t xml:space="preserve">Active on the DZ/African market push with SUV and 4x4 offers.</t>
  </si>
  <si>
    <t xml:space="preserve">BRD-0025</t>
  </si>
  <si>
    <t xml:space="preserve">Haval</t>
  </si>
  <si>
    <t xml:space="preserve">haval</t>
  </si>
  <si>
    <t xml:space="preserve">Great Wall Motor</t>
  </si>
  <si>
    <t xml:space="preserve">هافال, GWM</t>
  </si>
  <si>
    <t xml:space="preserve">GWM's SUV marque present through the Chinese import wave.</t>
  </si>
  <si>
    <t xml:space="preserve">BRD-0026</t>
  </si>
  <si>
    <t xml:space="preserve">Honda</t>
  </si>
  <si>
    <t xml:space="preserve">honda</t>
  </si>
  <si>
    <t xml:space="preserve">Honda Motor</t>
  </si>
  <si>
    <t xml:space="preserve">هوندا</t>
  </si>
  <si>
    <t xml:space="preserve">Civic/Accord presence through imports; smaller fleet than Toyota.</t>
  </si>
  <si>
    <t xml:space="preserve">BRD-0027</t>
  </si>
  <si>
    <t xml:space="preserve">Lada</t>
  </si>
  <si>
    <t xml:space="preserve">lada</t>
  </si>
  <si>
    <t xml:space="preserve">Russia</t>
  </si>
  <si>
    <t xml:space="preserve">AvtoVAZ</t>
  </si>
  <si>
    <t xml:space="preserve">لادا</t>
  </si>
  <si>
    <t xml:space="preserve">Niva 4x4 is a rural icon; classic sedans persist in legacy fleets.</t>
  </si>
  <si>
    <t xml:space="preserve">BRD-0028</t>
  </si>
  <si>
    <t xml:space="preserve">Iran Khodro</t>
  </si>
  <si>
    <t xml:space="preserve">iran-khodro</t>
  </si>
  <si>
    <t xml:space="preserve">Iran</t>
  </si>
  <si>
    <t xml:space="preserve">Iran Khodro Industrial Group</t>
  </si>
  <si>
    <t xml:space="preserve">إيران خودرو, IKCO</t>
  </si>
  <si>
    <t xml:space="preserve">Samand sedans marketed in DZ during the 2000s; small surviving fleet.</t>
  </si>
  <si>
    <t xml:space="preserve">BRD-0029</t>
  </si>
  <si>
    <t xml:space="preserve">Jeep</t>
  </si>
  <si>
    <t xml:space="preserve">jeep</t>
  </si>
  <si>
    <t xml:space="preserve">جيب</t>
  </si>
  <si>
    <t xml:space="preserve">Cherokee-family 4x4s in niche private fleets.</t>
  </si>
  <si>
    <t xml:space="preserve">BRD-0030</t>
  </si>
  <si>
    <t xml:space="preserve">Land Rover</t>
  </si>
  <si>
    <t xml:space="preserve">land-rover</t>
  </si>
  <si>
    <t xml:space="preserve">United Kingdom</t>
  </si>
  <si>
    <t xml:space="preserve">JLR (Tata Motors)</t>
  </si>
  <si>
    <t xml:space="preserve">لاند روفر</t>
  </si>
  <si>
    <t xml:space="preserve">Range Rover/Defender presence in premium and utility niches.</t>
  </si>
  <si>
    <t xml:space="preserve">BRD-0031</t>
  </si>
  <si>
    <t xml:space="preserve">Mazda</t>
  </si>
  <si>
    <t xml:space="preserve">mazda</t>
  </si>
  <si>
    <t xml:space="preserve">Mazda Motor</t>
  </si>
  <si>
    <t xml:space="preserve">مازدا</t>
  </si>
  <si>
    <t xml:space="preserve">Modest import presence; 323-era units survive in legacy fleets.</t>
  </si>
  <si>
    <t xml:space="preserve">2️⃣ Models</t>
  </si>
  <si>
    <t xml:space="preserve">One row per model · every Brand ID must exist on the 1️⃣ Brands sheet</t>
  </si>
  <si>
    <t xml:space="preserve">• One row = one model. Brand ID is a foreign key: it must match an existing row on 1️⃣ Brands exactly.</t>
  </si>
  <si>
    <t xml:space="preserve">• Model ID format: MDL-#### . Slug format: &lt;brand-slug&gt;-&lt;model-slug&gt; to guarantee global uniqueness (e.g. renault-clio).</t>
  </si>
  <si>
    <t xml:space="preserve">• Vehicle Type: passenger_car for every row of this dataset.</t>
  </si>
  <si>
    <t xml:space="preserve">• Brand Name is redundant on purpose (human readability). It must always equal the Brand Name of the referenced Brand ID.</t>
  </si>
  <si>
    <t xml:space="preserve">• Do NOT add generations, engines, trims, or years — out of scope for V1 structure.</t>
  </si>
  <si>
    <t xml:space="preserve">Business key. Format MDL-#### . Unique, sequential, never reused.</t>
  </si>
  <si>
    <t xml:space="preserve">Foreign key → 1️⃣ Brands. Must match an existing Brand ID.</t>
  </si>
  <si>
    <t xml:space="preserve">Denormalized copy of the brand's name — must match Brands sheet.</t>
  </si>
  <si>
    <t xml:space="preserve">Official model name without trim/engine (e.g. Clio, Accent, 206).</t>
  </si>
  <si>
    <t xml:space="preserve">Globally unique: &lt;brand-slug&gt;-&lt;model-slug&gt;, lowercase, hyphens.</t>
  </si>
  <si>
    <t xml:space="preserve">Category code: passenger_car for this dataset.</t>
  </si>
  <si>
    <t xml:space="preserve">Comma-separated aliases, local nicknames, regional names.</t>
  </si>
  <si>
    <t xml:space="preserve">dz_tier 1–4 for this model in the Algerian market.</t>
  </si>
  <si>
    <t xml:space="preserve">Free text: fleet notes, assembly, import waves, caveats.</t>
  </si>
  <si>
    <t xml:space="preserve">Model ID</t>
  </si>
  <si>
    <t xml:space="preserve">Model Name</t>
  </si>
  <si>
    <t xml:space="preserve">Vehicle Type</t>
  </si>
  <si>
    <t xml:space="preserve">MDL-0001</t>
  </si>
  <si>
    <t xml:space="preserve">Logan</t>
  </si>
  <si>
    <t xml:space="preserve">dacia-logan</t>
  </si>
  <si>
    <t xml:space="preserve">passenger_car</t>
  </si>
  <si>
    <t xml:space="preserve">لوغان</t>
  </si>
  <si>
    <t xml:space="preserve">Affordable-sedan benchmark; enormous multi-generation fleet.</t>
  </si>
  <si>
    <t xml:space="preserve">MDL-0002</t>
  </si>
  <si>
    <t xml:space="preserve">Sandero</t>
  </si>
  <si>
    <t xml:space="preserve">dacia-sandero</t>
  </si>
  <si>
    <t xml:space="preserve">Stepway, سانديرو</t>
  </si>
  <si>
    <t xml:space="preserve">Best-selling hatchback of the 2010s including Stepway versions.</t>
  </si>
  <si>
    <t xml:space="preserve">MDL-0003</t>
  </si>
  <si>
    <t xml:space="preserve">Duster</t>
  </si>
  <si>
    <t xml:space="preserve">dacia-duster</t>
  </si>
  <si>
    <t xml:space="preserve">داستر</t>
  </si>
  <si>
    <t xml:space="preserve">Default affordable SUV nationwide.</t>
  </si>
  <si>
    <t xml:space="preserve">MDL-0004</t>
  </si>
  <si>
    <t xml:space="preserve">Lodgy</t>
  </si>
  <si>
    <t xml:space="preserve">dacia-lodgy</t>
  </si>
  <si>
    <t xml:space="preserve">Family MPV common in large households and rural transport.</t>
  </si>
  <si>
    <t xml:space="preserve">MDL-0005</t>
  </si>
  <si>
    <t xml:space="preserve">500</t>
  </si>
  <si>
    <t xml:space="preserve">fiat-500</t>
  </si>
  <si>
    <t xml:space="preserve">فيات 500</t>
  </si>
  <si>
    <t xml:space="preserve">Produced locally at Tafraoui (Oran); face of the market relaunch.</t>
  </si>
  <si>
    <t xml:space="preserve">MDL-0006</t>
  </si>
  <si>
    <t xml:space="preserve">Grande Panda</t>
  </si>
  <si>
    <t xml:space="preserve">fiat-grande-panda</t>
  </si>
  <si>
    <t xml:space="preserve">New locally produced model unveiled from the Tafraoui plant.</t>
  </si>
  <si>
    <t xml:space="preserve">MDL-0007</t>
  </si>
  <si>
    <t xml:space="preserve">Tipo</t>
  </si>
  <si>
    <t xml:space="preserve">fiat-tipo</t>
  </si>
  <si>
    <t xml:space="preserve">تيبو</t>
  </si>
  <si>
    <t xml:space="preserve">High-volume sedan/hatch of the import reopening.</t>
  </si>
  <si>
    <t xml:space="preserve">MDL-0008</t>
  </si>
  <si>
    <t xml:space="preserve">500X</t>
  </si>
  <si>
    <t xml:space="preserve">fiat-500x</t>
  </si>
  <si>
    <t xml:space="preserve">Crossover companion to the 500 in the relaunch range.</t>
  </si>
  <si>
    <t xml:space="preserve">MDL-0009</t>
  </si>
  <si>
    <t xml:space="preserve">Panda</t>
  </si>
  <si>
    <t xml:space="preserve">fiat-panda</t>
  </si>
  <si>
    <t xml:space="preserve">باندا</t>
  </si>
  <si>
    <t xml:space="preserve">City-car staple across generations.</t>
  </si>
  <si>
    <t xml:space="preserve">MDL-0010</t>
  </si>
  <si>
    <t xml:space="preserve">Punto</t>
  </si>
  <si>
    <t xml:space="preserve">fiat-punto</t>
  </si>
  <si>
    <t xml:space="preserve">بونتو</t>
  </si>
  <si>
    <t xml:space="preserve">2000s hatchback with a large surviving fleet.</t>
  </si>
  <si>
    <t xml:space="preserve">MDL-0011</t>
  </si>
  <si>
    <t xml:space="preserve">Uno</t>
  </si>
  <si>
    <t xml:space="preserve">fiat-uno</t>
  </si>
  <si>
    <t xml:space="preserve">أونو</t>
  </si>
  <si>
    <t xml:space="preserve">Legacy icon of the 1990s; survivors still run and demand parts.</t>
  </si>
  <si>
    <t xml:space="preserve">MDL-0012</t>
  </si>
  <si>
    <t xml:space="preserve">Palio</t>
  </si>
  <si>
    <t xml:space="preserve">fiat-palio</t>
  </si>
  <si>
    <t xml:space="preserve">Emerging-markets hatch of the late 90s–2000s wave.</t>
  </si>
  <si>
    <t xml:space="preserve">MDL-0013</t>
  </si>
  <si>
    <t xml:space="preserve">Siena</t>
  </si>
  <si>
    <t xml:space="preserve">fiat-siena</t>
  </si>
  <si>
    <t xml:space="preserve">Sedan sibling of the Palio.</t>
  </si>
  <si>
    <t xml:space="preserve">MDL-0014</t>
  </si>
  <si>
    <t xml:space="preserve">i10</t>
  </si>
  <si>
    <t xml:space="preserve">hyundai-i10</t>
  </si>
  <si>
    <t xml:space="preserve">Entry city car with a very large fleet.</t>
  </si>
  <si>
    <t xml:space="preserve">MDL-0015</t>
  </si>
  <si>
    <t xml:space="preserve">Grand i10</t>
  </si>
  <si>
    <t xml:space="preserve">hyundai-grand-i10</t>
  </si>
  <si>
    <t xml:space="preserve">Assembled at Tiaret during the TMC program; top seller of its era.</t>
  </si>
  <si>
    <t xml:space="preserve">MDL-0016</t>
  </si>
  <si>
    <t xml:space="preserve">Accent</t>
  </si>
  <si>
    <t xml:space="preserve">hyundai-accent</t>
  </si>
  <si>
    <t xml:space="preserve">أكسنت</t>
  </si>
  <si>
    <t xml:space="preserve">Multi-generation volume sedan incl. locally assembled RB era.</t>
  </si>
  <si>
    <t xml:space="preserve">MDL-0017</t>
  </si>
  <si>
    <t xml:space="preserve">Tucson</t>
  </si>
  <si>
    <t xml:space="preserve">hyundai-tucson</t>
  </si>
  <si>
    <t xml:space="preserve">توسان</t>
  </si>
  <si>
    <t xml:space="preserve">Compact-SUV benchmark; locally assembled generation included.</t>
  </si>
  <si>
    <t xml:space="preserve">MDL-0018</t>
  </si>
  <si>
    <t xml:space="preserve">i20</t>
  </si>
  <si>
    <t xml:space="preserve">hyundai-i20</t>
  </si>
  <si>
    <t xml:space="preserve">Polo-segment hatchback widely present.</t>
  </si>
  <si>
    <t xml:space="preserve">MDL-0019</t>
  </si>
  <si>
    <t xml:space="preserve">Atos</t>
  </si>
  <si>
    <t xml:space="preserve">hyundai-atos</t>
  </si>
  <si>
    <t xml:space="preserve">أتوس</t>
  </si>
  <si>
    <t xml:space="preserve">2000s city-car legend; huge surviving fleet.</t>
  </si>
  <si>
    <t xml:space="preserve">MDL-0020</t>
  </si>
  <si>
    <t xml:space="preserve">Getz</t>
  </si>
  <si>
    <t xml:space="preserve">hyundai-getz</t>
  </si>
  <si>
    <t xml:space="preserve">2000s hatchback with lasting popularity.</t>
  </si>
  <si>
    <t xml:space="preserve">MDL-0021</t>
  </si>
  <si>
    <t xml:space="preserve">Elantra</t>
  </si>
  <si>
    <t xml:space="preserve">hyundai-elantra</t>
  </si>
  <si>
    <t xml:space="preserve">إلنترا</t>
  </si>
  <si>
    <t xml:space="preserve">Compact sedan across several import waves.</t>
  </si>
  <si>
    <t xml:space="preserve">MDL-0022</t>
  </si>
  <si>
    <t xml:space="preserve">ix35</t>
  </si>
  <si>
    <t xml:space="preserve">hyundai-ix35</t>
  </si>
  <si>
    <t xml:space="preserve">SUV generation preceding the current Tucson.</t>
  </si>
  <si>
    <t xml:space="preserve">MDL-0023</t>
  </si>
  <si>
    <t xml:space="preserve">Santa Fe</t>
  </si>
  <si>
    <t xml:space="preserve">hyundai-santa-fe</t>
  </si>
  <si>
    <t xml:space="preserve">سانتافي</t>
  </si>
  <si>
    <t xml:space="preserve">Family SUV incl. locally assembled units.</t>
  </si>
  <si>
    <t xml:space="preserve">MDL-0024</t>
  </si>
  <si>
    <t xml:space="preserve">Creta</t>
  </si>
  <si>
    <t xml:space="preserve">hyundai-creta</t>
  </si>
  <si>
    <t xml:space="preserve">كريتا</t>
  </si>
  <si>
    <t xml:space="preserve">Compact SUV of the TMC assembly era.</t>
  </si>
  <si>
    <t xml:space="preserve">MDL-0025</t>
  </si>
  <si>
    <t xml:space="preserve">i30</t>
  </si>
  <si>
    <t xml:space="preserve">hyundai-i30</t>
  </si>
  <si>
    <t xml:space="preserve">Compact hatch in smaller numbers.</t>
  </si>
  <si>
    <t xml:space="preserve">MDL-0026</t>
  </si>
  <si>
    <t xml:space="preserve">Sonata</t>
  </si>
  <si>
    <t xml:space="preserve">hyundai-sonata</t>
  </si>
  <si>
    <t xml:space="preserve">سوناتا</t>
  </si>
  <si>
    <t xml:space="preserve">Executive sedan presence.</t>
  </si>
  <si>
    <t xml:space="preserve">MDL-0027</t>
  </si>
  <si>
    <t xml:space="preserve">Picanto</t>
  </si>
  <si>
    <t xml:space="preserve">kia-picanto</t>
  </si>
  <si>
    <t xml:space="preserve">بيكانتو</t>
  </si>
  <si>
    <t xml:space="preserve">City-car best-seller; assembled at Batna (Gloviz program).</t>
  </si>
  <si>
    <t xml:space="preserve">MDL-0028</t>
  </si>
  <si>
    <t xml:space="preserve">Rio</t>
  </si>
  <si>
    <t xml:space="preserve">kia-rio</t>
  </si>
  <si>
    <t xml:space="preserve">ريو</t>
  </si>
  <si>
    <t xml:space="preserve">Volume hatch/sedan incl. locally assembled units.</t>
  </si>
  <si>
    <t xml:space="preserve">MDL-0029</t>
  </si>
  <si>
    <t xml:space="preserve">Sportage</t>
  </si>
  <si>
    <t xml:space="preserve">kia-sportage</t>
  </si>
  <si>
    <t xml:space="preserve">سبورتاج</t>
  </si>
  <si>
    <t xml:space="preserve">Compact-SUV volume leader for the brand.</t>
  </si>
  <si>
    <t xml:space="preserve">MDL-0030</t>
  </si>
  <si>
    <t xml:space="preserve">Cerato</t>
  </si>
  <si>
    <t xml:space="preserve">kia-cerato</t>
  </si>
  <si>
    <t xml:space="preserve">سيراتو</t>
  </si>
  <si>
    <t xml:space="preserve">Compact sedan widely present.</t>
  </si>
  <si>
    <t xml:space="preserve">MDL-0031</t>
  </si>
  <si>
    <t xml:space="preserve">Pride</t>
  </si>
  <si>
    <t xml:space="preserve">kia-pride</t>
  </si>
  <si>
    <t xml:space="preserve">برايد</t>
  </si>
  <si>
    <t xml:space="preserve">1990s–2000s legacy hatch with a persistent parts niche.</t>
  </si>
  <si>
    <t xml:space="preserve">MDL-0032</t>
  </si>
  <si>
    <t xml:space="preserve">Sorento</t>
  </si>
  <si>
    <t xml:space="preserve">kia-sorento</t>
  </si>
  <si>
    <t xml:space="preserve">Family SUV in smaller volumes.</t>
  </si>
  <si>
    <t xml:space="preserve">MDL-0033</t>
  </si>
  <si>
    <t xml:space="preserve">Optima</t>
  </si>
  <si>
    <t xml:space="preserve">kia-optima</t>
  </si>
  <si>
    <t xml:space="preserve">K5</t>
  </si>
  <si>
    <t xml:space="preserve">MDL-0034</t>
  </si>
  <si>
    <t xml:space="preserve">206</t>
  </si>
  <si>
    <t xml:space="preserve">peugeot-206</t>
  </si>
  <si>
    <t xml:space="preserve">One of the most common cars in Algeria; massive multi-body fleet.</t>
  </si>
  <si>
    <t xml:space="preserve">MDL-0035</t>
  </si>
  <si>
    <t xml:space="preserve">207</t>
  </si>
  <si>
    <t xml:space="preserve">peugeot-207</t>
  </si>
  <si>
    <t xml:space="preserve">High-volume successor to the 206.</t>
  </si>
  <si>
    <t xml:space="preserve">MDL-0036</t>
  </si>
  <si>
    <t xml:space="preserve">208</t>
  </si>
  <si>
    <t xml:space="preserve">peugeot-208</t>
  </si>
  <si>
    <t xml:space="preserve">Current-era volume hatchback.</t>
  </si>
  <si>
    <t xml:space="preserve">MDL-0037</t>
  </si>
  <si>
    <t xml:space="preserve">301</t>
  </si>
  <si>
    <t xml:space="preserve">peugeot-301</t>
  </si>
  <si>
    <t xml:space="preserve">Sedan designed for markets like DZ; taxi and family favorite.</t>
  </si>
  <si>
    <t xml:space="preserve">MDL-0038</t>
  </si>
  <si>
    <t xml:space="preserve">405</t>
  </si>
  <si>
    <t xml:space="preserve">peugeot-405</t>
  </si>
  <si>
    <t xml:space="preserve">Legendary sedan; survivors everywhere and parts demand undimmed.</t>
  </si>
  <si>
    <t xml:space="preserve">MDL-0039</t>
  </si>
  <si>
    <t xml:space="preserve">205</t>
  </si>
  <si>
    <t xml:space="preserve">peugeot-205</t>
  </si>
  <si>
    <t xml:space="preserve">1980s–90s icon with a loyal surviving fleet.</t>
  </si>
  <si>
    <t xml:space="preserve">MDL-0040</t>
  </si>
  <si>
    <t xml:space="preserve">306</t>
  </si>
  <si>
    <t xml:space="preserve">peugeot-306</t>
  </si>
  <si>
    <t xml:space="preserve">Compact staple of the 1990s.</t>
  </si>
  <si>
    <t xml:space="preserve">MDL-0041</t>
  </si>
  <si>
    <t xml:space="preserve">307</t>
  </si>
  <si>
    <t xml:space="preserve">peugeot-307</t>
  </si>
  <si>
    <t xml:space="preserve">2000s compact with a large fleet.</t>
  </si>
  <si>
    <t xml:space="preserve">MDL-0042</t>
  </si>
  <si>
    <t xml:space="preserve">308</t>
  </si>
  <si>
    <t xml:space="preserve">peugeot-308</t>
  </si>
  <si>
    <t xml:space="preserve">Compact of recent import waves.</t>
  </si>
  <si>
    <t xml:space="preserve">MDL-0043</t>
  </si>
  <si>
    <t xml:space="preserve">406</t>
  </si>
  <si>
    <t xml:space="preserve">peugeot-406</t>
  </si>
  <si>
    <t xml:space="preserve">Executive sedan; long-serving taxi favorite.</t>
  </si>
  <si>
    <t xml:space="preserve">MDL-0044</t>
  </si>
  <si>
    <t xml:space="preserve">504</t>
  </si>
  <si>
    <t xml:space="preserve">peugeot-504</t>
  </si>
  <si>
    <t xml:space="preserve">Historic sedan/break legend; rural survivors sustain parts demand.</t>
  </si>
  <si>
    <t xml:space="preserve">MDL-0045</t>
  </si>
  <si>
    <t xml:space="preserve">2008</t>
  </si>
  <si>
    <t xml:space="preserve">peugeot-2008</t>
  </si>
  <si>
    <t xml:space="preserve">Compact crossover of the 2010s+.</t>
  </si>
  <si>
    <t xml:space="preserve">MDL-0046</t>
  </si>
  <si>
    <t xml:space="preserve">3008</t>
  </si>
  <si>
    <t xml:space="preserve">peugeot-3008</t>
  </si>
  <si>
    <t xml:space="preserve">Family SUV of recent waves.</t>
  </si>
  <si>
    <t xml:space="preserve">MDL-0047</t>
  </si>
  <si>
    <t xml:space="preserve">407</t>
  </si>
  <si>
    <t xml:space="preserve">peugeot-407</t>
  </si>
  <si>
    <t xml:space="preserve">Executive sedan of the 2000s.</t>
  </si>
  <si>
    <t xml:space="preserve">MDL-0048</t>
  </si>
  <si>
    <t xml:space="preserve">505</t>
  </si>
  <si>
    <t xml:space="preserve">peugeot-505</t>
  </si>
  <si>
    <t xml:space="preserve">1980s executive; surviving units in legacy fleets.</t>
  </si>
  <si>
    <t xml:space="preserve">MDL-0049</t>
  </si>
  <si>
    <t xml:space="preserve">508</t>
  </si>
  <si>
    <t xml:space="preserve">peugeot-508</t>
  </si>
  <si>
    <t xml:space="preserve">Flagship sedan presence.</t>
  </si>
  <si>
    <t xml:space="preserve">MDL-0050</t>
  </si>
  <si>
    <t xml:space="preserve">Clio</t>
  </si>
  <si>
    <t xml:space="preserve">renault-clio</t>
  </si>
  <si>
    <t xml:space="preserve">Clio Campus, كليو</t>
  </si>
  <si>
    <t xml:space="preserve">Multi-generation best-seller incl. the locally emblematic Clio Campus era.</t>
  </si>
  <si>
    <t xml:space="preserve">MDL-0051</t>
  </si>
  <si>
    <t xml:space="preserve">Symbol</t>
  </si>
  <si>
    <t xml:space="preserve">renault-symbol</t>
  </si>
  <si>
    <t xml:space="preserve">Thalia, سامبول</t>
  </si>
  <si>
    <t xml:space="preserve">Produced at Oued Tlélat (Oran); taxi and family-fleet mainstay.</t>
  </si>
  <si>
    <t xml:space="preserve">MDL-0052</t>
  </si>
  <si>
    <t xml:space="preserve">Mégane</t>
  </si>
  <si>
    <t xml:space="preserve">renault-megane</t>
  </si>
  <si>
    <t xml:space="preserve">Megane, ميغان</t>
  </si>
  <si>
    <t xml:space="preserve">Compact benchmark across generations.</t>
  </si>
  <si>
    <t xml:space="preserve">MDL-0053</t>
  </si>
  <si>
    <t xml:space="preserve">Fluence</t>
  </si>
  <si>
    <t xml:space="preserve">renault-fluence</t>
  </si>
  <si>
    <t xml:space="preserve">Sedan of the 2010s with a broad fleet.</t>
  </si>
  <si>
    <t xml:space="preserve">MDL-0054</t>
  </si>
  <si>
    <t xml:space="preserve">Captur</t>
  </si>
  <si>
    <t xml:space="preserve">renault-captur</t>
  </si>
  <si>
    <t xml:space="preserve">Urban crossover of recent waves.</t>
  </si>
  <si>
    <t xml:space="preserve">MDL-0055</t>
  </si>
  <si>
    <t xml:space="preserve">R4</t>
  </si>
  <si>
    <t xml:space="preserve">renault-r4</t>
  </si>
  <si>
    <t xml:space="preserve">4L, كاتر</t>
  </si>
  <si>
    <t xml:space="preserve">The immortal 4L; a foundational vehicle of Algerian motoring.</t>
  </si>
  <si>
    <t xml:space="preserve">MDL-0056</t>
  </si>
  <si>
    <t xml:space="preserve">R12</t>
  </si>
  <si>
    <t xml:space="preserve">renault-r12</t>
  </si>
  <si>
    <t xml:space="preserve">Renault 12</t>
  </si>
  <si>
    <t xml:space="preserve">Legacy sedan/break icon still remembered — and repaired.</t>
  </si>
  <si>
    <t xml:space="preserve">MDL-0057</t>
  </si>
  <si>
    <t xml:space="preserve">R19</t>
  </si>
  <si>
    <t xml:space="preserve">renault-r19</t>
  </si>
  <si>
    <t xml:space="preserve">Renault 19</t>
  </si>
  <si>
    <t xml:space="preserve">1990s staple with surviving fleet.</t>
  </si>
  <si>
    <t xml:space="preserve">MDL-0058</t>
  </si>
  <si>
    <t xml:space="preserve">Scénic</t>
  </si>
  <si>
    <t xml:space="preserve">renault-scenic</t>
  </si>
  <si>
    <t xml:space="preserve">Scenic</t>
  </si>
  <si>
    <t xml:space="preserve">Family MPV of the 2000s.</t>
  </si>
  <si>
    <t xml:space="preserve">MDL-0059</t>
  </si>
  <si>
    <t xml:space="preserve">Laguna</t>
  </si>
  <si>
    <t xml:space="preserve">renault-laguna</t>
  </si>
  <si>
    <t xml:space="preserve">Executive hatch/sedan presence.</t>
  </si>
  <si>
    <t xml:space="preserve">MDL-0060</t>
  </si>
  <si>
    <t xml:space="preserve">Twingo</t>
  </si>
  <si>
    <t xml:space="preserve">renault-twingo</t>
  </si>
  <si>
    <t xml:space="preserve">City car of the 1990s–2000s.</t>
  </si>
  <si>
    <t xml:space="preserve">MDL-0061</t>
  </si>
  <si>
    <t xml:space="preserve">Kadjar</t>
  </si>
  <si>
    <t xml:space="preserve">renault-kadjar</t>
  </si>
  <si>
    <t xml:space="preserve">Compact SUV of the 2010s.</t>
  </si>
  <si>
    <t xml:space="preserve">MDL-0062</t>
  </si>
  <si>
    <t xml:space="preserve">R21</t>
  </si>
  <si>
    <t xml:space="preserve">renault-r21</t>
  </si>
  <si>
    <t xml:space="preserve">Renault 21</t>
  </si>
  <si>
    <t xml:space="preserve">Late-80s sedan in legacy fleets.</t>
  </si>
  <si>
    <t xml:space="preserve">MDL-0063</t>
  </si>
  <si>
    <t xml:space="preserve">R25</t>
  </si>
  <si>
    <t xml:space="preserve">renault-r25</t>
  </si>
  <si>
    <t xml:space="preserve">Renault 25</t>
  </si>
  <si>
    <t xml:space="preserve">Executive legacy niche.</t>
  </si>
  <si>
    <t xml:space="preserve">MDL-0064</t>
  </si>
  <si>
    <t xml:space="preserve">Yaris</t>
  </si>
  <si>
    <t xml:space="preserve">toyota-yaris</t>
  </si>
  <si>
    <t xml:space="preserve">يارس</t>
  </si>
  <si>
    <t xml:space="preserve">Urban best-seller with a reputation for indestructibility.</t>
  </si>
  <si>
    <t xml:space="preserve">MDL-0065</t>
  </si>
  <si>
    <t xml:space="preserve">Corolla</t>
  </si>
  <si>
    <t xml:space="preserve">toyota-corolla</t>
  </si>
  <si>
    <t xml:space="preserve">كورولا</t>
  </si>
  <si>
    <t xml:space="preserve">Global benchmark sedan; steady DZ presence across generations.</t>
  </si>
  <si>
    <t xml:space="preserve">MDL-0066</t>
  </si>
  <si>
    <t xml:space="preserve">RAV4</t>
  </si>
  <si>
    <t xml:space="preserve">toyota-rav4</t>
  </si>
  <si>
    <t xml:space="preserve">راف 4</t>
  </si>
  <si>
    <t xml:space="preserve">Compact-SUV mainstay.</t>
  </si>
  <si>
    <t xml:space="preserve">MDL-0067</t>
  </si>
  <si>
    <t xml:space="preserve">Land Cruiser</t>
  </si>
  <si>
    <t xml:space="preserve">toyota-land-cruiser</t>
  </si>
  <si>
    <t xml:space="preserve">لاندكروزر</t>
  </si>
  <si>
    <t xml:space="preserve">4x4 institution of the Algerian south.</t>
  </si>
  <si>
    <t xml:space="preserve">MDL-0068</t>
  </si>
  <si>
    <t xml:space="preserve">Prado</t>
  </si>
  <si>
    <t xml:space="preserve">toyota-prado</t>
  </si>
  <si>
    <t xml:space="preserve">Land Cruiser Prado, برادو</t>
  </si>
  <si>
    <t xml:space="preserve">Family 4x4 favored by enterprises and administrations.</t>
  </si>
  <si>
    <t xml:space="preserve">MDL-0069</t>
  </si>
  <si>
    <t xml:space="preserve">Fortuner</t>
  </si>
  <si>
    <t xml:space="preserve">toyota-fortuner</t>
  </si>
  <si>
    <t xml:space="preserve">Hilux-based SUV presence.</t>
  </si>
  <si>
    <t xml:space="preserve">MDL-0070</t>
  </si>
  <si>
    <t xml:space="preserve">Camry</t>
  </si>
  <si>
    <t xml:space="preserve">toyota-camry</t>
  </si>
  <si>
    <t xml:space="preserve">كامري</t>
  </si>
  <si>
    <t xml:space="preserve">Executive sedan niche.</t>
  </si>
  <si>
    <t xml:space="preserve">MDL-0071</t>
  </si>
  <si>
    <t xml:space="preserve">Avensis</t>
  </si>
  <si>
    <t xml:space="preserve">toyota-avensis</t>
  </si>
  <si>
    <t xml:space="preserve">2000s sedan presence.</t>
  </si>
  <si>
    <t xml:space="preserve">MDL-0072</t>
  </si>
  <si>
    <t xml:space="preserve">Starlet</t>
  </si>
  <si>
    <t xml:space="preserve">toyota-starlet</t>
  </si>
  <si>
    <t xml:space="preserve">ستارليت</t>
  </si>
  <si>
    <t xml:space="preserve">1990s city-car legend with surviving units.</t>
  </si>
  <si>
    <t xml:space="preserve">MDL-0073</t>
  </si>
  <si>
    <t xml:space="preserve">Golf</t>
  </si>
  <si>
    <t xml:space="preserve">volkswagen-golf</t>
  </si>
  <si>
    <t xml:space="preserve">غولف</t>
  </si>
  <si>
    <t xml:space="preserve">Cult compact; among the most desired cars in Algeria across generations.</t>
  </si>
  <si>
    <t xml:space="preserve">MDL-0074</t>
  </si>
  <si>
    <t xml:space="preserve">Polo</t>
  </si>
  <si>
    <t xml:space="preserve">volkswagen-polo</t>
  </si>
  <si>
    <t xml:space="preserve">بولو</t>
  </si>
  <si>
    <t xml:space="preserve">Volume hatchback incl. SOVAC-assembled units.</t>
  </si>
  <si>
    <t xml:space="preserve">MDL-0075</t>
  </si>
  <si>
    <t xml:space="preserve">Passat</t>
  </si>
  <si>
    <t xml:space="preserve">volkswagen-passat</t>
  </si>
  <si>
    <t xml:space="preserve">باسات</t>
  </si>
  <si>
    <t xml:space="preserve">Executive sedan staple.</t>
  </si>
  <si>
    <t xml:space="preserve">MDL-0076</t>
  </si>
  <si>
    <t xml:space="preserve">Jetta</t>
  </si>
  <si>
    <t xml:space="preserve">volkswagen-jetta</t>
  </si>
  <si>
    <t xml:space="preserve">Vento</t>
  </si>
  <si>
    <t xml:space="preserve">Compact sedan presence across eras.</t>
  </si>
  <si>
    <t xml:space="preserve">MDL-0077</t>
  </si>
  <si>
    <t xml:space="preserve">Bora</t>
  </si>
  <si>
    <t xml:space="preserve">volkswagen-bora</t>
  </si>
  <si>
    <t xml:space="preserve">بورا</t>
  </si>
  <si>
    <t xml:space="preserve">2000s sedan with a notably large DZ fleet.</t>
  </si>
  <si>
    <t xml:space="preserve">MDL-0078</t>
  </si>
  <si>
    <t xml:space="preserve">Tiguan</t>
  </si>
  <si>
    <t xml:space="preserve">volkswagen-tiguan</t>
  </si>
  <si>
    <t xml:space="preserve">تيغوان</t>
  </si>
  <si>
    <t xml:space="preserve">Compact SUV of recent waves.</t>
  </si>
  <si>
    <t xml:space="preserve">MDL-0079</t>
  </si>
  <si>
    <t xml:space="preserve">Touareg</t>
  </si>
  <si>
    <t xml:space="preserve">volkswagen-touareg</t>
  </si>
  <si>
    <t xml:space="preserve">طوارق</t>
  </si>
  <si>
    <t xml:space="preserve">Premium SUV presence.</t>
  </si>
  <si>
    <t xml:space="preserve">MDL-0080</t>
  </si>
  <si>
    <t xml:space="preserve">3 Series</t>
  </si>
  <si>
    <t xml:space="preserve">bmw-3-series</t>
  </si>
  <si>
    <t xml:space="preserve">Série 3, الفئة الثالثة</t>
  </si>
  <si>
    <t xml:space="preserve">Core premium sedan across generations (E30 to current).</t>
  </si>
  <si>
    <t xml:space="preserve">MDL-0081</t>
  </si>
  <si>
    <t xml:space="preserve">5 Series</t>
  </si>
  <si>
    <t xml:space="preserve">bmw-5-series</t>
  </si>
  <si>
    <t xml:space="preserve">Série 5</t>
  </si>
  <si>
    <t xml:space="preserve">Executive staple of premium fleets.</t>
  </si>
  <si>
    <t xml:space="preserve">MDL-0082</t>
  </si>
  <si>
    <t xml:space="preserve">1 Series</t>
  </si>
  <si>
    <t xml:space="preserve">bmw-1-series</t>
  </si>
  <si>
    <t xml:space="preserve">Série 1</t>
  </si>
  <si>
    <t xml:space="preserve">Premium compact presence.</t>
  </si>
  <si>
    <t xml:space="preserve">MDL-0083</t>
  </si>
  <si>
    <t xml:space="preserve">7 Series</t>
  </si>
  <si>
    <t xml:space="preserve">bmw-7-series</t>
  </si>
  <si>
    <t xml:space="preserve">Série 7</t>
  </si>
  <si>
    <t xml:space="preserve">Flagship niche.</t>
  </si>
  <si>
    <t xml:space="preserve">MDL-0084</t>
  </si>
  <si>
    <t xml:space="preserve">X3</t>
  </si>
  <si>
    <t xml:space="preserve">bmw-x3</t>
  </si>
  <si>
    <t xml:space="preserve">Premium compact SUV.</t>
  </si>
  <si>
    <t xml:space="preserve">MDL-0085</t>
  </si>
  <si>
    <t xml:space="preserve">X5</t>
  </si>
  <si>
    <t xml:space="preserve">bmw-x5</t>
  </si>
  <si>
    <t xml:space="preserve">Premium family SUV.</t>
  </si>
  <si>
    <t xml:space="preserve">MDL-0086</t>
  </si>
  <si>
    <t xml:space="preserve">QQ</t>
  </si>
  <si>
    <t xml:space="preserve">chery-qq</t>
  </si>
  <si>
    <t xml:space="preserve">كيو كيو</t>
  </si>
  <si>
    <t xml:space="preserve">2000s micro-car phenomenon; made Chinese cars mainstream in DZ.</t>
  </si>
  <si>
    <t xml:space="preserve">MDL-0087</t>
  </si>
  <si>
    <t xml:space="preserve">Arrizo 5</t>
  </si>
  <si>
    <t xml:space="preserve">chery-arrizo-5</t>
  </si>
  <si>
    <t xml:space="preserve">Compact sedan of the brand's relaunch range.</t>
  </si>
  <si>
    <t xml:space="preserve">MDL-0088</t>
  </si>
  <si>
    <t xml:space="preserve">Tiggo 4</t>
  </si>
  <si>
    <t xml:space="preserve">chery-tiggo-4</t>
  </si>
  <si>
    <t xml:space="preserve">Tiggo 4 Pro</t>
  </si>
  <si>
    <t xml:space="preserve">Compact SUV of the relaunch range.</t>
  </si>
  <si>
    <t xml:space="preserve">MDL-0089</t>
  </si>
  <si>
    <t xml:space="preserve">Tiggo 7</t>
  </si>
  <si>
    <t xml:space="preserve">chery-tiggo-7</t>
  </si>
  <si>
    <t xml:space="preserve">Tiggo 7 Pro</t>
  </si>
  <si>
    <t xml:space="preserve">Mid-size SUV of the relaunch range.</t>
  </si>
  <si>
    <t xml:space="preserve">MDL-0090</t>
  </si>
  <si>
    <t xml:space="preserve">Tiggo 8</t>
  </si>
  <si>
    <t xml:space="preserve">chery-tiggo-8</t>
  </si>
  <si>
    <t xml:space="preserve">Tiggo 8 Pro</t>
  </si>
  <si>
    <t xml:space="preserve">7-seat flagship SUV.</t>
  </si>
  <si>
    <t xml:space="preserve">MDL-0091</t>
  </si>
  <si>
    <t xml:space="preserve">Spark</t>
  </si>
  <si>
    <t xml:space="preserve">chevrolet-spark</t>
  </si>
  <si>
    <t xml:space="preserve">سبارك</t>
  </si>
  <si>
    <t xml:space="preserve">City-car volume leader of the Diamal era.</t>
  </si>
  <si>
    <t xml:space="preserve">MDL-0092</t>
  </si>
  <si>
    <t xml:space="preserve">Aveo</t>
  </si>
  <si>
    <t xml:space="preserve">chevrolet-aveo</t>
  </si>
  <si>
    <t xml:space="preserve">أفيو</t>
  </si>
  <si>
    <t xml:space="preserve">Hatch/sedan staple of the 2000s–2010s.</t>
  </si>
  <si>
    <t xml:space="preserve">MDL-0093</t>
  </si>
  <si>
    <t xml:space="preserve">Optra</t>
  </si>
  <si>
    <t xml:space="preserve">chevrolet-optra</t>
  </si>
  <si>
    <t xml:space="preserve">أوبترا</t>
  </si>
  <si>
    <t xml:space="preserve">Compact sedan with a large taxi/family fleet.</t>
  </si>
  <si>
    <t xml:space="preserve">MDL-0094</t>
  </si>
  <si>
    <t xml:space="preserve">Cruze</t>
  </si>
  <si>
    <t xml:space="preserve">chevrolet-cruze</t>
  </si>
  <si>
    <t xml:space="preserve">كروز</t>
  </si>
  <si>
    <t xml:space="preserve">Compact sedan of the early 2010s.</t>
  </si>
  <si>
    <t xml:space="preserve">MDL-0095</t>
  </si>
  <si>
    <t xml:space="preserve">Captiva</t>
  </si>
  <si>
    <t xml:space="preserve">chevrolet-captiva</t>
  </si>
  <si>
    <t xml:space="preserve">Family SUV presence.</t>
  </si>
  <si>
    <t xml:space="preserve">MDL-0096</t>
  </si>
  <si>
    <t xml:space="preserve">C3</t>
  </si>
  <si>
    <t xml:space="preserve">citroen-c3</t>
  </si>
  <si>
    <t xml:space="preserve">Urban hatch across several generations.</t>
  </si>
  <si>
    <t xml:space="preserve">MDL-0097</t>
  </si>
  <si>
    <t xml:space="preserve">C4</t>
  </si>
  <si>
    <t xml:space="preserve">citroen-c4</t>
  </si>
  <si>
    <t xml:space="preserve">Compact hatch/sedan presence.</t>
  </si>
  <si>
    <t xml:space="preserve">MDL-0098</t>
  </si>
  <si>
    <t xml:space="preserve">Xsara</t>
  </si>
  <si>
    <t xml:space="preserve">citroen-xsara</t>
  </si>
  <si>
    <t xml:space="preserve">إكسارا</t>
  </si>
  <si>
    <t xml:space="preserve">Late-90s/2000s compact with a big surviving fleet.</t>
  </si>
  <si>
    <t xml:space="preserve">MDL-0099</t>
  </si>
  <si>
    <t xml:space="preserve">C-Elysée</t>
  </si>
  <si>
    <t xml:space="preserve">citroen-c-elysee</t>
  </si>
  <si>
    <t xml:space="preserve">C-Elysee</t>
  </si>
  <si>
    <t xml:space="preserve">Sedan twin of the Peugeot 301 built for markets like DZ.</t>
  </si>
  <si>
    <t xml:space="preserve">MDL-0100</t>
  </si>
  <si>
    <t xml:space="preserve">AX</t>
  </si>
  <si>
    <t xml:space="preserve">citroen-ax</t>
  </si>
  <si>
    <t xml:space="preserve">Legacy city car of the 90s.</t>
  </si>
  <si>
    <t xml:space="preserve">MDL-0101</t>
  </si>
  <si>
    <t xml:space="preserve">Saxo</t>
  </si>
  <si>
    <t xml:space="preserve">citroen-saxo</t>
  </si>
  <si>
    <t xml:space="preserve">90s–2000s city car.</t>
  </si>
  <si>
    <t xml:space="preserve">MDL-0102</t>
  </si>
  <si>
    <t xml:space="preserve">ZX</t>
  </si>
  <si>
    <t xml:space="preserve">citroen-zx</t>
  </si>
  <si>
    <t xml:space="preserve">90s compact in legacy fleets.</t>
  </si>
  <si>
    <t xml:space="preserve">MDL-0103</t>
  </si>
  <si>
    <t xml:space="preserve">C5</t>
  </si>
  <si>
    <t xml:space="preserve">citroen-c5</t>
  </si>
  <si>
    <t xml:space="preserve">Executive presence.</t>
  </si>
  <si>
    <t xml:space="preserve">MDL-0104</t>
  </si>
  <si>
    <t xml:space="preserve">Tico</t>
  </si>
  <si>
    <t xml:space="preserve">daewoo-tico</t>
  </si>
  <si>
    <t xml:space="preserve">تيكو</t>
  </si>
  <si>
    <t xml:space="preserve">1990s micro-car phenomenon; a whole generation learned to drive in one.</t>
  </si>
  <si>
    <t xml:space="preserve">MDL-0105</t>
  </si>
  <si>
    <t xml:space="preserve">Matiz</t>
  </si>
  <si>
    <t xml:space="preserve">daewoo-matiz</t>
  </si>
  <si>
    <t xml:space="preserve">ماتيز</t>
  </si>
  <si>
    <t xml:space="preserve">Tico's successor with an equally large fleet.</t>
  </si>
  <si>
    <t xml:space="preserve">MDL-0106</t>
  </si>
  <si>
    <t xml:space="preserve">Lanos</t>
  </si>
  <si>
    <t xml:space="preserve">daewoo-lanos</t>
  </si>
  <si>
    <t xml:space="preserve">لانوس</t>
  </si>
  <si>
    <t xml:space="preserve">Volume hatch/sedan of the late 90s.</t>
  </si>
  <si>
    <t xml:space="preserve">MDL-0107</t>
  </si>
  <si>
    <t xml:space="preserve">Cielo</t>
  </si>
  <si>
    <t xml:space="preserve">daewoo-cielo</t>
  </si>
  <si>
    <t xml:space="preserve">سييلو</t>
  </si>
  <si>
    <t xml:space="preserve">Nexia-family sedan widely sold in DZ.</t>
  </si>
  <si>
    <t xml:space="preserve">MDL-0108</t>
  </si>
  <si>
    <t xml:space="preserve">Nubira</t>
  </si>
  <si>
    <t xml:space="preserve">daewoo-nubira</t>
  </si>
  <si>
    <t xml:space="preserve">Compact sedan/break of the era.</t>
  </si>
  <si>
    <t xml:space="preserve">MDL-0109</t>
  </si>
  <si>
    <t xml:space="preserve">Espero</t>
  </si>
  <si>
    <t xml:space="preserve">daewoo-espero</t>
  </si>
  <si>
    <t xml:space="preserve">Mid-size sedan of the 90s wave.</t>
  </si>
  <si>
    <t xml:space="preserve">MDL-0110</t>
  </si>
  <si>
    <t xml:space="preserve">Fiesta</t>
  </si>
  <si>
    <t xml:space="preserve">ford-fiesta</t>
  </si>
  <si>
    <t xml:space="preserve">فييستا</t>
  </si>
  <si>
    <t xml:space="preserve">Urban hatch across import waves.</t>
  </si>
  <si>
    <t xml:space="preserve">MDL-0111</t>
  </si>
  <si>
    <t xml:space="preserve">Focus</t>
  </si>
  <si>
    <t xml:space="preserve">ford-focus</t>
  </si>
  <si>
    <t xml:space="preserve">فوكوس</t>
  </si>
  <si>
    <t xml:space="preserve">Compact staple of the 2000s–2010s.</t>
  </si>
  <si>
    <t xml:space="preserve">MDL-0112</t>
  </si>
  <si>
    <t xml:space="preserve">Fusion</t>
  </si>
  <si>
    <t xml:space="preserve">ford-fusion</t>
  </si>
  <si>
    <t xml:space="preserve">Small MPV/hatch of the 2000s.</t>
  </si>
  <si>
    <t xml:space="preserve">MDL-0113</t>
  </si>
  <si>
    <t xml:space="preserve">Kuga</t>
  </si>
  <si>
    <t xml:space="preserve">ford-kuga</t>
  </si>
  <si>
    <t xml:space="preserve">Compact SUV presence.</t>
  </si>
  <si>
    <t xml:space="preserve">MDL-0114</t>
  </si>
  <si>
    <t xml:space="preserve">EcoSport</t>
  </si>
  <si>
    <t xml:space="preserve">ford-ecosport</t>
  </si>
  <si>
    <t xml:space="preserve">Small crossover of the 2010s.</t>
  </si>
  <si>
    <t xml:space="preserve">MDL-0115</t>
  </si>
  <si>
    <t xml:space="preserve">Emgrand</t>
  </si>
  <si>
    <t xml:space="preserve">geely-emgrand</t>
  </si>
  <si>
    <t xml:space="preserve">إمغراند</t>
  </si>
  <si>
    <t xml:space="preserve">Volume sedan of the brand's DZ entry.</t>
  </si>
  <si>
    <t xml:space="preserve">MDL-0116</t>
  </si>
  <si>
    <t xml:space="preserve">GX3 Pro</t>
  </si>
  <si>
    <t xml:space="preserve">geely-gx3-pro</t>
  </si>
  <si>
    <t xml:space="preserve">Entry crossover with strong early sales.</t>
  </si>
  <si>
    <t xml:space="preserve">MDL-0117</t>
  </si>
  <si>
    <t xml:space="preserve">Coolray</t>
  </si>
  <si>
    <t xml:space="preserve">geely-coolray</t>
  </si>
  <si>
    <t xml:space="preserve">Compact SUV of the launch range.</t>
  </si>
  <si>
    <t xml:space="preserve">MDL-0118</t>
  </si>
  <si>
    <t xml:space="preserve">190</t>
  </si>
  <si>
    <t xml:space="preserve">mercedes-benz-190</t>
  </si>
  <si>
    <t xml:space="preserve">W201, ميرسيدس 190</t>
  </si>
  <si>
    <t xml:space="preserve">Algerian legend of durability; survivors remain daily drivers.</t>
  </si>
  <si>
    <t xml:space="preserve">MDL-0119</t>
  </si>
  <si>
    <t xml:space="preserve">C-Class</t>
  </si>
  <si>
    <t xml:space="preserve">mercedes-benz-c-class</t>
  </si>
  <si>
    <t xml:space="preserve">Classe C</t>
  </si>
  <si>
    <t xml:space="preserve">Core premium sedan across generations.</t>
  </si>
  <si>
    <t xml:space="preserve">MDL-0120</t>
  </si>
  <si>
    <t xml:space="preserve">E-Class</t>
  </si>
  <si>
    <t xml:space="preserve">mercedes-benz-e-class</t>
  </si>
  <si>
    <t xml:space="preserve">Classe E</t>
  </si>
  <si>
    <t xml:space="preserve">Executive benchmark incl. long-serving W124 units.</t>
  </si>
  <si>
    <t xml:space="preserve">MDL-0121</t>
  </si>
  <si>
    <t xml:space="preserve">A-Class</t>
  </si>
  <si>
    <t xml:space="preserve">mercedes-benz-a-class</t>
  </si>
  <si>
    <t xml:space="preserve">Classe A</t>
  </si>
  <si>
    <t xml:space="preserve">MDL-0122</t>
  </si>
  <si>
    <t xml:space="preserve">S-Class</t>
  </si>
  <si>
    <t xml:space="preserve">mercedes-benz-s-class</t>
  </si>
  <si>
    <t xml:space="preserve">Classe S</t>
  </si>
  <si>
    <t xml:space="preserve">MDL-0123</t>
  </si>
  <si>
    <t xml:space="preserve">ML</t>
  </si>
  <si>
    <t xml:space="preserve">mercedes-benz-ml</t>
  </si>
  <si>
    <t xml:space="preserve">GLE</t>
  </si>
  <si>
    <t xml:space="preserve">Premium SUV of the 2000s–2010s.</t>
  </si>
  <si>
    <t xml:space="preserve">MDL-0124</t>
  </si>
  <si>
    <t xml:space="preserve">GLC</t>
  </si>
  <si>
    <t xml:space="preserve">mercedes-benz-glc</t>
  </si>
  <si>
    <t xml:space="preserve">Current premium compact SUV.</t>
  </si>
  <si>
    <t xml:space="preserve">MDL-0125</t>
  </si>
  <si>
    <t xml:space="preserve">Lancer</t>
  </si>
  <si>
    <t xml:space="preserve">mitsubishi-lancer</t>
  </si>
  <si>
    <t xml:space="preserve">لانسر</t>
  </si>
  <si>
    <t xml:space="preserve">Durable compact sedan with a loyal fleet.</t>
  </si>
  <si>
    <t xml:space="preserve">MDL-0126</t>
  </si>
  <si>
    <t xml:space="preserve">Pajero</t>
  </si>
  <si>
    <t xml:space="preserve">mitsubishi-pajero</t>
  </si>
  <si>
    <t xml:space="preserve">باجيرو</t>
  </si>
  <si>
    <t xml:space="preserve">4x4 reference alongside the Land Cruiser.</t>
  </si>
  <si>
    <t xml:space="preserve">MDL-0127</t>
  </si>
  <si>
    <t xml:space="preserve">ASX</t>
  </si>
  <si>
    <t xml:space="preserve">mitsubishi-asx</t>
  </si>
  <si>
    <t xml:space="preserve">Compact crossover presence.</t>
  </si>
  <si>
    <t xml:space="preserve">MDL-0128</t>
  </si>
  <si>
    <t xml:space="preserve">Outlander</t>
  </si>
  <si>
    <t xml:space="preserve">mitsubishi-outlander</t>
  </si>
  <si>
    <t xml:space="preserve">MDL-0129</t>
  </si>
  <si>
    <t xml:space="preserve">Micra</t>
  </si>
  <si>
    <t xml:space="preserve">nissan-micra</t>
  </si>
  <si>
    <t xml:space="preserve">ميكرا</t>
  </si>
  <si>
    <t xml:space="preserve">MDL-0130</t>
  </si>
  <si>
    <t xml:space="preserve">Sunny</t>
  </si>
  <si>
    <t xml:space="preserve">nissan-sunny</t>
  </si>
  <si>
    <t xml:space="preserve">صني</t>
  </si>
  <si>
    <t xml:space="preserve">Legacy sedan of the 90s with survivors in service.</t>
  </si>
  <si>
    <t xml:space="preserve">MDL-0131</t>
  </si>
  <si>
    <t xml:space="preserve">Qashqai</t>
  </si>
  <si>
    <t xml:space="preserve">nissan-qashqai</t>
  </si>
  <si>
    <t xml:space="preserve">قاشقاي</t>
  </si>
  <si>
    <t xml:space="preserve">Crossover volume model of the 2010s.</t>
  </si>
  <si>
    <t xml:space="preserve">MDL-0132</t>
  </si>
  <si>
    <t xml:space="preserve">Tiida</t>
  </si>
  <si>
    <t xml:space="preserve">nissan-tiida</t>
  </si>
  <si>
    <t xml:space="preserve">Hatch/sedan of the late 2000s.</t>
  </si>
  <si>
    <t xml:space="preserve">MDL-0133</t>
  </si>
  <si>
    <t xml:space="preserve">Juke</t>
  </si>
  <si>
    <t xml:space="preserve">nissan-juke</t>
  </si>
  <si>
    <t xml:space="preserve">Urban crossover presence.</t>
  </si>
  <si>
    <t xml:space="preserve">MDL-0134</t>
  </si>
  <si>
    <t xml:space="preserve">Patrol</t>
  </si>
  <si>
    <t xml:space="preserve">nissan-patrol</t>
  </si>
  <si>
    <t xml:space="preserve">باترول</t>
  </si>
  <si>
    <t xml:space="preserve">4x4 heritage in the south and utilities.</t>
  </si>
  <si>
    <t xml:space="preserve">MDL-0135</t>
  </si>
  <si>
    <t xml:space="preserve">Corsa</t>
  </si>
  <si>
    <t xml:space="preserve">opel-corsa</t>
  </si>
  <si>
    <t xml:space="preserve">كورسا</t>
  </si>
  <si>
    <t xml:space="preserve">Volume hatch of the 90s–2000s; back with the Stellantis relaunch.</t>
  </si>
  <si>
    <t xml:space="preserve">MDL-0136</t>
  </si>
  <si>
    <t xml:space="preserve">Astra</t>
  </si>
  <si>
    <t xml:space="preserve">opel-astra</t>
  </si>
  <si>
    <t xml:space="preserve">أسترا</t>
  </si>
  <si>
    <t xml:space="preserve">Compact staple with a large legacy fleet.</t>
  </si>
  <si>
    <t xml:space="preserve">MDL-0137</t>
  </si>
  <si>
    <t xml:space="preserve">Vectra</t>
  </si>
  <si>
    <t xml:space="preserve">opel-vectra</t>
  </si>
  <si>
    <t xml:space="preserve">Executive sedan of the 90s–2000s.</t>
  </si>
  <si>
    <t xml:space="preserve">MDL-0138</t>
  </si>
  <si>
    <t xml:space="preserve">Zafira</t>
  </si>
  <si>
    <t xml:space="preserve">opel-zafira</t>
  </si>
  <si>
    <t xml:space="preserve">Family MPV presence.</t>
  </si>
  <si>
    <t xml:space="preserve">MDL-0139</t>
  </si>
  <si>
    <t xml:space="preserve">Mokka</t>
  </si>
  <si>
    <t xml:space="preserve">opel-mokka</t>
  </si>
  <si>
    <t xml:space="preserve">Compact crossover of recent waves.</t>
  </si>
  <si>
    <t xml:space="preserve">MDL-0140</t>
  </si>
  <si>
    <t xml:space="preserve">Ibiza</t>
  </si>
  <si>
    <t xml:space="preserve">seat-ibiza</t>
  </si>
  <si>
    <t xml:space="preserve">إيبيزا</t>
  </si>
  <si>
    <t xml:space="preserve">Volume hatch incl. SOVAC-assembled units.</t>
  </si>
  <si>
    <t xml:space="preserve">MDL-0141</t>
  </si>
  <si>
    <t xml:space="preserve">Leon</t>
  </si>
  <si>
    <t xml:space="preserve">seat-leon</t>
  </si>
  <si>
    <t xml:space="preserve">ليون</t>
  </si>
  <si>
    <t xml:space="preserve">Sporty compact with strong appeal.</t>
  </si>
  <si>
    <t xml:space="preserve">MDL-0142</t>
  </si>
  <si>
    <t xml:space="preserve">Cordoba</t>
  </si>
  <si>
    <t xml:space="preserve">seat-cordoba</t>
  </si>
  <si>
    <t xml:space="preserve">Sedan sibling of the Ibiza in legacy fleets.</t>
  </si>
  <si>
    <t xml:space="preserve">MDL-0143</t>
  </si>
  <si>
    <t xml:space="preserve">Ateca</t>
  </si>
  <si>
    <t xml:space="preserve">seat-ateca</t>
  </si>
  <si>
    <t xml:space="preserve">Compact SUV of the assembly era.</t>
  </si>
  <si>
    <t xml:space="preserve">MDL-0144</t>
  </si>
  <si>
    <t xml:space="preserve">Fabia</t>
  </si>
  <si>
    <t xml:space="preserve">skoda-fabia</t>
  </si>
  <si>
    <t xml:space="preserve">فابيا</t>
  </si>
  <si>
    <t xml:space="preserve">Value hatch incl. SOVAC-assembled units.</t>
  </si>
  <si>
    <t xml:space="preserve">MDL-0145</t>
  </si>
  <si>
    <t xml:space="preserve">Octavia</t>
  </si>
  <si>
    <t xml:space="preserve">skoda-octavia</t>
  </si>
  <si>
    <t xml:space="preserve">أوكتافيا</t>
  </si>
  <si>
    <t xml:space="preserve">Compact sedan benchmark for taxis and families.</t>
  </si>
  <si>
    <t xml:space="preserve">MDL-0146</t>
  </si>
  <si>
    <t xml:space="preserve">Rapid</t>
  </si>
  <si>
    <t xml:space="preserve">skoda-rapid</t>
  </si>
  <si>
    <t xml:space="preserve">Budget sedan of the 2010s.</t>
  </si>
  <si>
    <t xml:space="preserve">MDL-0147</t>
  </si>
  <si>
    <t xml:space="preserve">Superb</t>
  </si>
  <si>
    <t xml:space="preserve">skoda-superb</t>
  </si>
  <si>
    <t xml:space="preserve">MDL-0148</t>
  </si>
  <si>
    <t xml:space="preserve">Alto</t>
  </si>
  <si>
    <t xml:space="preserve">suzuki-alto</t>
  </si>
  <si>
    <t xml:space="preserve">ألتو</t>
  </si>
  <si>
    <t xml:space="preserve">Entry car incl. Maruti-built units; large urban fleet.</t>
  </si>
  <si>
    <t xml:space="preserve">MDL-0149</t>
  </si>
  <si>
    <t xml:space="preserve">Celerio</t>
  </si>
  <si>
    <t xml:space="preserve">suzuki-celerio</t>
  </si>
  <si>
    <t xml:space="preserve">سيليريو</t>
  </si>
  <si>
    <t xml:space="preserve">Entry hatch of the 2010s wave.</t>
  </si>
  <si>
    <t xml:space="preserve">MDL-0150</t>
  </si>
  <si>
    <t xml:space="preserve">Swift</t>
  </si>
  <si>
    <t xml:space="preserve">suzuki-swift</t>
  </si>
  <si>
    <t xml:space="preserve">سويفت</t>
  </si>
  <si>
    <t xml:space="preserve">Urban hatch across generations.</t>
  </si>
  <si>
    <t xml:space="preserve">MDL-0151</t>
  </si>
  <si>
    <t xml:space="preserve">Baleno</t>
  </si>
  <si>
    <t xml:space="preserve">suzuki-baleno</t>
  </si>
  <si>
    <t xml:space="preserve">Hatch/sedan presence across eras.</t>
  </si>
  <si>
    <t xml:space="preserve">MDL-0152</t>
  </si>
  <si>
    <t xml:space="preserve">Vitara</t>
  </si>
  <si>
    <t xml:space="preserve">suzuki-vitara</t>
  </si>
  <si>
    <t xml:space="preserve">فيتارا</t>
  </si>
  <si>
    <t xml:space="preserve">Compact 4x4/SUV heritage.</t>
  </si>
  <si>
    <t xml:space="preserve">MDL-0153</t>
  </si>
  <si>
    <t xml:space="preserve">Jimny</t>
  </si>
  <si>
    <t xml:space="preserve">suzuki-jimny</t>
  </si>
  <si>
    <t xml:space="preserve">جيمني</t>
  </si>
  <si>
    <t xml:space="preserve">Compact off-roader niche.</t>
  </si>
  <si>
    <t xml:space="preserve">MDL-0154</t>
  </si>
  <si>
    <t xml:space="preserve">A3</t>
  </si>
  <si>
    <t xml:space="preserve">audi-a3</t>
  </si>
  <si>
    <t xml:space="preserve">MDL-0155</t>
  </si>
  <si>
    <t xml:space="preserve">A4</t>
  </si>
  <si>
    <t xml:space="preserve">audi-a4</t>
  </si>
  <si>
    <t xml:space="preserve">Core premium sedan.</t>
  </si>
  <si>
    <t xml:space="preserve">MDL-0156</t>
  </si>
  <si>
    <t xml:space="preserve">A6</t>
  </si>
  <si>
    <t xml:space="preserve">audi-a6</t>
  </si>
  <si>
    <t xml:space="preserve">MDL-0157</t>
  </si>
  <si>
    <t xml:space="preserve">Q5</t>
  </si>
  <si>
    <t xml:space="preserve">audi-q5</t>
  </si>
  <si>
    <t xml:space="preserve">MDL-0158</t>
  </si>
  <si>
    <t xml:space="preserve">X55</t>
  </si>
  <si>
    <t xml:space="preserve">baic-x55</t>
  </si>
  <si>
    <t xml:space="preserve">Compact SUV of the brand's DZ/African push.</t>
  </si>
  <si>
    <t xml:space="preserve">MDL-0159</t>
  </si>
  <si>
    <t xml:space="preserve">BJ40</t>
  </si>
  <si>
    <t xml:space="preserve">baic-bj40</t>
  </si>
  <si>
    <t xml:space="preserve">Ladder-frame 4x4 offer.</t>
  </si>
  <si>
    <t xml:space="preserve">MDL-0160</t>
  </si>
  <si>
    <t xml:space="preserve">H6</t>
  </si>
  <si>
    <t xml:space="preserve">haval-h6</t>
  </si>
  <si>
    <t xml:space="preserve">GWM's volume SUV present via imports.</t>
  </si>
  <si>
    <t xml:space="preserve">MDL-0161</t>
  </si>
  <si>
    <t xml:space="preserve">Jolion</t>
  </si>
  <si>
    <t xml:space="preserve">haval-jolion</t>
  </si>
  <si>
    <t xml:space="preserve">Compact SUV of the recent range.</t>
  </si>
  <si>
    <t xml:space="preserve">MDL-0162</t>
  </si>
  <si>
    <t xml:space="preserve">Civic</t>
  </si>
  <si>
    <t xml:space="preserve">honda-civic</t>
  </si>
  <si>
    <t xml:space="preserve">سيفيك</t>
  </si>
  <si>
    <t xml:space="preserve">Compact presence across import waves.</t>
  </si>
  <si>
    <t xml:space="preserve">MDL-0163</t>
  </si>
  <si>
    <t xml:space="preserve">Accord</t>
  </si>
  <si>
    <t xml:space="preserve">honda-accord</t>
  </si>
  <si>
    <t xml:space="preserve">أكورد</t>
  </si>
  <si>
    <t xml:space="preserve">MDL-0164</t>
  </si>
  <si>
    <t xml:space="preserve">CR-V</t>
  </si>
  <si>
    <t xml:space="preserve">honda-cr-v</t>
  </si>
  <si>
    <t xml:space="preserve">MDL-0165</t>
  </si>
  <si>
    <t xml:space="preserve">Niva</t>
  </si>
  <si>
    <t xml:space="preserve">lada-niva</t>
  </si>
  <si>
    <t xml:space="preserve">نيفا, 4x4</t>
  </si>
  <si>
    <t xml:space="preserve">Rural 4x4 icon; simple, repairable, and still in demand.</t>
  </si>
  <si>
    <t xml:space="preserve">MDL-0166</t>
  </si>
  <si>
    <t xml:space="preserve">Samara</t>
  </si>
  <si>
    <t xml:space="preserve">lada-samara</t>
  </si>
  <si>
    <t xml:space="preserve">1990s hatch in legacy fleets.</t>
  </si>
  <si>
    <t xml:space="preserve">MDL-0167</t>
  </si>
  <si>
    <t xml:space="preserve">2107</t>
  </si>
  <si>
    <t xml:space="preserve">lada-2107</t>
  </si>
  <si>
    <t xml:space="preserve">Riva</t>
  </si>
  <si>
    <t xml:space="preserve">Classic sedan survivors in rural areas.</t>
  </si>
  <si>
    <t xml:space="preserve">MDL-0168</t>
  </si>
  <si>
    <t xml:space="preserve">Samand</t>
  </si>
  <si>
    <t xml:space="preserve">iran-khodro-samand</t>
  </si>
  <si>
    <t xml:space="preserve">سمند</t>
  </si>
  <si>
    <t xml:space="preserve">Marketed in DZ in the 2000s; small surviving fleet.</t>
  </si>
  <si>
    <t xml:space="preserve">MDL-0169</t>
  </si>
  <si>
    <t xml:space="preserve">Cherokee</t>
  </si>
  <si>
    <t xml:space="preserve">jeep-cherokee</t>
  </si>
  <si>
    <t xml:space="preserve">شيروكي</t>
  </si>
  <si>
    <t xml:space="preserve">4x4 presence in private fleets.</t>
  </si>
  <si>
    <t xml:space="preserve">MDL-0170</t>
  </si>
  <si>
    <t xml:space="preserve">Grand Cherokee</t>
  </si>
  <si>
    <t xml:space="preserve">jeep-grand-cherokee</t>
  </si>
  <si>
    <t xml:space="preserve">غراند شيروكي</t>
  </si>
  <si>
    <t xml:space="preserve">Premium 4x4 niche.</t>
  </si>
  <si>
    <t xml:space="preserve">MDL-0171</t>
  </si>
  <si>
    <t xml:space="preserve">Range Rover</t>
  </si>
  <si>
    <t xml:space="preserve">land-rover-range-rover</t>
  </si>
  <si>
    <t xml:space="preserve">رينج روفر</t>
  </si>
  <si>
    <t xml:space="preserve">MDL-0172</t>
  </si>
  <si>
    <t xml:space="preserve">Defender</t>
  </si>
  <si>
    <t xml:space="preserve">land-rover-defender</t>
  </si>
  <si>
    <t xml:space="preserve">ديفندر</t>
  </si>
  <si>
    <t xml:space="preserve">Utility 4x4 heritage in administrations and farms.</t>
  </si>
  <si>
    <t xml:space="preserve">MDL-0173</t>
  </si>
  <si>
    <t xml:space="preserve">323</t>
  </si>
  <si>
    <t xml:space="preserve">mazda-323</t>
  </si>
  <si>
    <t xml:space="preserve">1990s compact survivors in legacy fleets.</t>
  </si>
  <si>
    <t xml:space="preserve">MDL-0174</t>
  </si>
  <si>
    <t xml:space="preserve">3</t>
  </si>
  <si>
    <t xml:space="preserve">mazda-3</t>
  </si>
  <si>
    <t xml:space="preserve">Mazda3</t>
  </si>
  <si>
    <t xml:space="preserve">Compact presence via imports.</t>
  </si>
  <si>
    <t xml:space="preserve">3️⃣ Statistics</t>
  </si>
  <si>
    <t xml:space="preserve">Auto-calculated summary — every value is a live formula, never type over it</t>
  </si>
  <si>
    <t xml:space="preserve">• This sheet is 100% formula-driven from tblBrands and tblModels. It updates automatically as you add rows to the data sheets.</t>
  </si>
  <si>
    <t xml:space="preserve">• Do not enter data here. If a value looks wrong, fix the source row on 1️⃣ Brands or 2️⃣ Models.</t>
  </si>
  <si>
    <t xml:space="preserve">• 'Top Brands' counts models per brand; 'Top Models' lists tier-1 models. Re-sort visually after large data loads if needed.</t>
  </si>
  <si>
    <t xml:space="preserve">Headline Counts</t>
  </si>
  <si>
    <t xml:space="preserve">All rows on the Brands sheet.</t>
  </si>
  <si>
    <t xml:space="preserve">All rows on the Models sheet.</t>
  </si>
  <si>
    <t xml:space="preserve">Brands with Status = active (importable).</t>
  </si>
  <si>
    <t xml:space="preserve">Models with Status = active (importable).</t>
  </si>
  <si>
    <t xml:space="preserve">Draft Brands</t>
  </si>
  <si>
    <t xml:space="preserve">Excluded from import.</t>
  </si>
  <si>
    <t xml:space="preserve">Draft Models</t>
  </si>
  <si>
    <t xml:space="preserve">Tier-1 Brands (very high demand)</t>
  </si>
  <si>
    <t xml:space="preserve">dz_tier = 1 on the Brands sheet.</t>
  </si>
  <si>
    <t xml:space="preserve">Tier-1 Models (very high demand)</t>
  </si>
  <si>
    <t xml:space="preserve">dz_tier = 1 on the Models sheet.</t>
  </si>
  <si>
    <t xml:space="preserve">Top Brands — models per brand (live)</t>
  </si>
  <si>
    <t xml:space="preserve">Model Count</t>
  </si>
  <si>
    <t xml:space="preserve">Note</t>
  </si>
  <si>
    <t xml:space="preserve">Rows follow the Brands sheet order (sorted by popularity). Extend downward as brands are added.</t>
  </si>
  <si>
    <t xml:space="preserve">Top Models — tier-1 demand (live)</t>
  </si>
  <si>
    <t xml:space="preserve">Filter view: on 2️⃣ Models, filter 'Popularity Algeria' = 1 to list top models. The counts below stay live:</t>
  </si>
  <si>
    <t xml:space="preserve">Tier-1 model count</t>
  </si>
  <si>
    <t xml:space="preserve">Models with dz_tier = 1 (e.g. Clio, Symbol, 206, Accent, Golf…).</t>
  </si>
  <si>
    <t xml:space="preserve">First tier-1 model (lookup)</t>
  </si>
  <si>
    <t xml:space="preserve">INDEX/MATCH pattern — duplicate for further rankings if needed.</t>
  </si>
  <si>
    <t xml:space="preserve">Coverage — tier distribution (live)</t>
  </si>
  <si>
    <t xml:space="preserve">Tier-1 brands</t>
  </si>
  <si>
    <t xml:space="preserve">Very high parts demand.</t>
  </si>
  <si>
    <t xml:space="preserve">Tier-2 brands</t>
  </si>
  <si>
    <t xml:space="preserve">High demand.</t>
  </si>
  <si>
    <t xml:space="preserve">Tier-3 brands</t>
  </si>
  <si>
    <t xml:space="preserve">Medium demand.</t>
  </si>
  <si>
    <t xml:space="preserve">Tier-4 brands</t>
  </si>
  <si>
    <t xml:space="preserve">Low / niche demand.</t>
  </si>
  <si>
    <t xml:space="preserve">Tier-1 models</t>
  </si>
  <si>
    <t xml:space="preserve">Tier-2 models</t>
  </si>
  <si>
    <t xml:space="preserve">Tier-3 models</t>
  </si>
  <si>
    <t xml:space="preserve">Tier-4 models</t>
  </si>
  <si>
    <t xml:space="preserve">Brands covered by ≥1 model</t>
  </si>
  <si>
    <t xml:space="preserve">FK coverage check — every brand should have at least one model.</t>
  </si>
  <si>
    <t xml:space="preserve">Average models per brand</t>
  </si>
  <si>
    <t xml:space="preserve">Depth of coverage.</t>
  </si>
  <si>
    <t xml:space="preserve">4️⃣ Hierarchy View</t>
  </si>
  <si>
    <t xml:space="preserve">Visual reference of the V1 data hierarchy: Vehicle Category → Brand → Model</t>
  </si>
  <si>
    <t xml:space="preserve">• This sheet documents the ONLY hierarchy allowed in the V1 structure. Anything deeper (family, generation, engine, trim) is out of scope until V2 of the Standard.</t>
  </si>
  <si>
    <t xml:space="preserve">• The example below uses real rows from this dataset. It is illustrative — the data sheets remain the source of truth.</t>
  </si>
  <si>
    <t xml:space="preserve">• Every Model rolls up to exactly one Brand, and every Brand belongs to this dataset's single Vehicle Category: passenger_car.</t>
  </si>
  <si>
    <t xml:space="preserve">The V1 Hierarchy</t>
  </si>
  <si>
    <t xml:space="preserve">LEVEL 1 — Vehicle Category</t>
  </si>
  <si>
    <t xml:space="preserve">This dataset covers a single category: passenger_car.</t>
  </si>
  <si>
    <t xml:space="preserve">↓</t>
  </si>
  <si>
    <t xml:space="preserve">LEVEL 2 — Brand</t>
  </si>
  <si>
    <t xml:space="preserve">Manufacturer / marque. Stored on 1️⃣ Brands. Unique per dataset.</t>
  </si>
  <si>
    <t xml:space="preserve">LEVEL 3 — Model</t>
  </si>
  <si>
    <t xml:space="preserve">Commercial model name. Stored on 2️⃣ Models. Belongs to exactly one Brand.</t>
  </si>
  <si>
    <t xml:space="preserve">Worked Example (from this dataset)</t>
  </si>
  <si>
    <t xml:space="preserve">Vehicle Category — this dataset</t>
  </si>
  <si>
    <t xml:space="preserve">   └─ Renault</t>
  </si>
  <si>
    <t xml:space="preserve">Brand — BRD-0006</t>
  </si>
  <si>
    <t xml:space="preserve">        └─ Clio</t>
  </si>
  <si>
    <t xml:space="preserve">Model — MDL-0050</t>
  </si>
  <si>
    <t xml:space="preserve">        └─ Symbol</t>
  </si>
  <si>
    <t xml:space="preserve">Model — MDL-0051</t>
  </si>
  <si>
    <t xml:space="preserve">   └─ Peugeot</t>
  </si>
  <si>
    <t xml:space="preserve">Brand — BRD-0005</t>
  </si>
  <si>
    <t xml:space="preserve">        └─ 206</t>
  </si>
  <si>
    <t xml:space="preserve">Model — MDL-0034</t>
  </si>
  <si>
    <t xml:space="preserve">        └─ 405</t>
  </si>
  <si>
    <t xml:space="preserve">Model — MDL-0038</t>
  </si>
  <si>
    <t xml:space="preserve">   └─ Hyundai</t>
  </si>
  <si>
    <t xml:space="preserve">Brand — BRD-0003</t>
  </si>
  <si>
    <t xml:space="preserve">        └─ Accent</t>
  </si>
  <si>
    <t xml:space="preserve">Model — MDL-0016</t>
  </si>
  <si>
    <t xml:space="preserve">5️⃣ Database Mapping</t>
  </si>
  <si>
    <t xml:space="preserve">How every workbook column lands in the PieceFacile Supabase/PostgreSQL schema</t>
  </si>
  <si>
    <t xml:space="preserve">• Three DB tables receive this data: vehicle_categories, brands, models. Import in that order (parents first).</t>
  </si>
  <si>
    <t xml:space="preserve">• Primary keys (id) are generated by Postgres (identity/uuid). Workbook IDs are stored as external_ref for traceability and idempotent re-imports.</t>
  </si>
  <si>
    <t xml:space="preserve">• Every mapping row below is normative: importers must not rename, retype, or skip columns.</t>
  </si>
  <si>
    <t xml:space="preserve">Sheet the source column lives on.</t>
  </si>
  <si>
    <t xml:space="preserve">Exact column header in this workbook.</t>
  </si>
  <si>
    <t xml:space="preserve">Target table in the PieceFacile schema.</t>
  </si>
  <si>
    <t xml:space="preserve">Target column name (snake_case).</t>
  </si>
  <si>
    <t xml:space="preserve">Column type in PostgreSQL/Supabase.</t>
  </si>
  <si>
    <t xml:space="preserve">NOT NULL / UNIQUE / FK / CHECK rules the importer must enforce.</t>
  </si>
  <si>
    <t xml:space="preserve">Workbook Sheet</t>
  </si>
  <si>
    <t xml:space="preserve">Workbook Column</t>
  </si>
  <si>
    <t xml:space="preserve">DB Table</t>
  </si>
  <si>
    <t xml:space="preserve">DB Column</t>
  </si>
  <si>
    <t xml:space="preserve">PostgreSQL Type</t>
  </si>
  <si>
    <t xml:space="preserve">Constraint / Rule</t>
  </si>
  <si>
    <t xml:space="preserve">📋 Overview</t>
  </si>
  <si>
    <t xml:space="preserve">vehicle_categories</t>
  </si>
  <si>
    <t xml:space="preserve">name</t>
  </si>
  <si>
    <t xml:space="preserve">text</t>
  </si>
  <si>
    <t xml:space="preserve">NOT NULL, UNIQUE. This dataset: 'Passenger Cars'.</t>
  </si>
  <si>
    <t xml:space="preserve">Category (slugified)</t>
  </si>
  <si>
    <t xml:space="preserve">slug</t>
  </si>
  <si>
    <t xml:space="preserve">NOT NULL, UNIQUE. This dataset: 'passenger_car'.</t>
  </si>
  <si>
    <t xml:space="preserve">—</t>
  </si>
  <si>
    <t xml:space="preserve">(generated)</t>
  </si>
  <si>
    <t xml:space="preserve">id</t>
  </si>
  <si>
    <t xml:space="preserve">bigint identity</t>
  </si>
  <si>
    <t xml:space="preserve">PRIMARY KEY. Generated by Postgres.</t>
  </si>
  <si>
    <t xml:space="preserve">brands</t>
  </si>
  <si>
    <t xml:space="preserve">external_ref</t>
  </si>
  <si>
    <t xml:space="preserve">NOT NULL, UNIQUE. Business key BRD-#### from this workbook.</t>
  </si>
  <si>
    <t xml:space="preserve">NOT NULL, UNIQUE within category.</t>
  </si>
  <si>
    <t xml:space="preserve">NOT NULL, UNIQUE. CHECK: matches ^[a-z0-9]+(-[a-z0-9]+)*$.</t>
  </si>
  <si>
    <t xml:space="preserve">country</t>
  </si>
  <si>
    <t xml:space="preserve">NULLABLE. ISO English country name.</t>
  </si>
  <si>
    <t xml:space="preserve">parent_group</t>
  </si>
  <si>
    <t xml:space="preserve">NULLABLE.</t>
  </si>
  <si>
    <t xml:space="preserve">alt_names</t>
  </si>
  <si>
    <t xml:space="preserve">text[]</t>
  </si>
  <si>
    <t xml:space="preserve">NULLABLE. Split the comma-separated list into a Postgres array.</t>
  </si>
  <si>
    <t xml:space="preserve">dz_tier</t>
  </si>
  <si>
    <t xml:space="preserve">smallint</t>
  </si>
  <si>
    <t xml:space="preserve">NOT NULL. CHECK (dz_tier BETWEEN 1 AND 4).</t>
  </si>
  <si>
    <t xml:space="preserve">status</t>
  </si>
  <si>
    <t xml:space="preserve">NOT NULL. CHECK (status IN ('active','draft')). Import 'active' only.</t>
  </si>
  <si>
    <t xml:space="preserve">notes</t>
  </si>
  <si>
    <t xml:space="preserve">(derived from file)</t>
  </si>
  <si>
    <t xml:space="preserve">category_id</t>
  </si>
  <si>
    <t xml:space="preserve">bigint</t>
  </si>
  <si>
    <t xml:space="preserve">NOT NULL. FK → vehicle_categories(id).</t>
  </si>
  <si>
    <t xml:space="preserve">models</t>
  </si>
  <si>
    <t xml:space="preserve">NOT NULL, UNIQUE. Business key MDL-#### from this workbook.</t>
  </si>
  <si>
    <t xml:space="preserve">brand_id</t>
  </si>
  <si>
    <t xml:space="preserve">NOT NULL. FK → brands(id), resolved via brands.external_ref.</t>
  </si>
  <si>
    <t xml:space="preserve">NOT NULL. UNIQUE together with brand_id.</t>
  </si>
  <si>
    <t xml:space="preserve">NOT NULL, UNIQUE globally. Format &lt;brand-slug&gt;-&lt;model-slug&gt;.</t>
  </si>
  <si>
    <t xml:space="preserve">vehicle_type</t>
  </si>
  <si>
    <t xml:space="preserve">NOT NULL. CHECK against the seven category codes; 'passenger_car' here.</t>
  </si>
  <si>
    <t xml:space="preserve">NULLABLE. Split comma-separated list into array.</t>
  </si>
  <si>
    <t xml:space="preserve">(not stored)</t>
  </si>
  <si>
    <t xml:space="preserve">Display-only redundancy in the workbook. Validate it matches brands.name, then drop.</t>
  </si>
  <si>
    <t xml:space="preserve">6️⃣ Import Rules</t>
  </si>
  <si>
    <t xml:space="preserve">Validation contract — every dataset must pass all rules before import into Supabase</t>
  </si>
  <si>
    <t xml:space="preserve">• Run through every section below before importing. A dataset that violates any rule marked REQUIRED must be rejected.</t>
  </si>
  <si>
    <t xml:space="preserve">• These rules apply identically to all seven dataset categories. No category-specific exceptions in V1.</t>
  </si>
  <si>
    <t xml:space="preserve">Required Fields (import must fail if blank)</t>
  </si>
  <si>
    <t xml:space="preserve">Sheet</t>
  </si>
  <si>
    <t xml:space="preserve">Required Columns</t>
  </si>
  <si>
    <t xml:space="preserve">Why</t>
  </si>
  <si>
    <t xml:space="preserve">Brand ID · Brand Name · Slug · Popularity Algeria · Status</t>
  </si>
  <si>
    <t xml:space="preserve">Identity, display, routing, DZ prioritization, import gate.</t>
  </si>
  <si>
    <t xml:space="preserve">Model ID · Brand ID · Brand Name · Model Name · Slug · Vehicle Type · Popularity Algeria · Status</t>
  </si>
  <si>
    <t xml:space="preserve">Identity, FK integrity, display, routing, category, prioritization, import gate.</t>
  </si>
  <si>
    <t xml:space="preserve">Dataset Name · Category · Version · Market · Last Update</t>
  </si>
  <si>
    <t xml:space="preserve">Provenance and versioning of every published dataset.</t>
  </si>
  <si>
    <t xml:space="preserve">Optional Fields</t>
  </si>
  <si>
    <t xml:space="preserve">Optional Columns</t>
  </si>
  <si>
    <t xml:space="preserve">Behavior when blank</t>
  </si>
  <si>
    <t xml:space="preserve">Country · Parent Group · Alternative Names · Notes</t>
  </si>
  <si>
    <t xml:space="preserve">Imported as NULL / empty array. Never invent values.</t>
  </si>
  <si>
    <t xml:space="preserve">Alternative Names · Notes</t>
  </si>
  <si>
    <t xml:space="preserve">Imported as NULL / empty array.</t>
  </si>
  <si>
    <t xml:space="preserve">Unique Constraints</t>
  </si>
  <si>
    <t xml:space="preserve">Constraint</t>
  </si>
  <si>
    <t xml:space="preserve">Enforcement</t>
  </si>
  <si>
    <t xml:space="preserve">Brands</t>
  </si>
  <si>
    <t xml:space="preserve">Brand ID unique · Brand Name unique · Slug unique</t>
  </si>
  <si>
    <t xml:space="preserve">Reject the whole file on any duplicate (REQUIRED).</t>
  </si>
  <si>
    <t xml:space="preserve">Models</t>
  </si>
  <si>
    <t xml:space="preserve">Model ID unique · Slug unique globally · (Brand ID + Model Name) unique</t>
  </si>
  <si>
    <t xml:space="preserve">Cross-sheet</t>
  </si>
  <si>
    <t xml:space="preserve">Every Models.Brand ID must exist on Brands; Models.Brand Name must equal the referenced brand's name</t>
  </si>
  <si>
    <t xml:space="preserve">Referential integrity check before import (REQUIRED).</t>
  </si>
  <si>
    <t xml:space="preserve">Slug Rules</t>
  </si>
  <si>
    <t xml:space="preserve">Rule</t>
  </si>
  <si>
    <t xml:space="preserve">Definition</t>
  </si>
  <si>
    <t xml:space="preserve">Examples</t>
  </si>
  <si>
    <t xml:space="preserve">Charset</t>
  </si>
  <si>
    <t xml:space="preserve">Lowercase ASCII letters, digits, single hyphens. No spaces, accents, Arabic script, underscores, or leading/trailing hyphens. Regex: ^[a-z0-9]+(-[a-z0-9]+)*$</t>
  </si>
  <si>
    <t xml:space="preserve">'renault' ✓ · 'Renault' ✗ · 're_nault' ✗</t>
  </si>
  <si>
    <t xml:space="preserve">Transliteration</t>
  </si>
  <si>
    <t xml:space="preserve">Accented and non-Latin names are transliterated to ASCII before slugging.</t>
  </si>
  <si>
    <t xml:space="preserve">'Citroën' → 'citroen' · 'Škoda' → 'skoda'</t>
  </si>
  <si>
    <t xml:space="preserve">Brand slug</t>
  </si>
  <si>
    <t xml:space="preserve">Derived from Brand Name only.</t>
  </si>
  <si>
    <t xml:space="preserve">'Mercedes-Benz' → 'mercedes-benz'</t>
  </si>
  <si>
    <t xml:space="preserve">Model slug</t>
  </si>
  <si>
    <t xml:space="preserve">Always prefixed with the brand slug: &lt;brand-slug&gt;-&lt;model-slug&gt;. Guarantees global uniqueness.</t>
  </si>
  <si>
    <t xml:space="preserve">'renault-clio' · 'peugeot-206'</t>
  </si>
  <si>
    <t xml:space="preserve">Stability</t>
  </si>
  <si>
    <t xml:space="preserve">Slugs are permanent once published. Renames create a new row; never edit a published slug.</t>
  </si>
  <si>
    <t xml:space="preserve">Prevents broken URLs and FK drift.</t>
  </si>
  <si>
    <t xml:space="preserve">Normalization Rules</t>
  </si>
  <si>
    <t xml:space="preserve">Field</t>
  </si>
  <si>
    <t xml:space="preserve">Brand / Model Name</t>
  </si>
  <si>
    <t xml:space="preserve">Official Latin spelling, trimmed, single internal spaces, proper case as branded. No trim levels or engine codes in the name.</t>
  </si>
  <si>
    <t xml:space="preserve">'Clio' ✓ · 'Clio 1.2 16V' ✗</t>
  </si>
  <si>
    <t xml:space="preserve">Comma-separated, trimmed, deduplicated. May contain Arabic/French variants — these live here, never in the main Name.</t>
  </si>
  <si>
    <t xml:space="preserve">'سامبول' · 'Thalia'</t>
  </si>
  <si>
    <t xml:space="preserve">Full ISO English country name.</t>
  </si>
  <si>
    <t xml:space="preserve">'France' ✓ · 'FR' ✗</t>
  </si>
  <si>
    <t xml:space="preserve">Popularity Algeria (dz_tier)</t>
  </si>
  <si>
    <t xml:space="preserve">Integer 1–4 only. 1 = very high parts demand · 2 = high · 3 = medium · 4 = low/niche. Judged Algeria-first: installed fleet, aging fleets still needing parts, local assembly.</t>
  </si>
  <si>
    <t xml:space="preserve">'1' ✓ · 'High' ✗</t>
  </si>
  <si>
    <t xml:space="preserve">Exactly 'active' or 'draft', lowercase.</t>
  </si>
  <si>
    <t xml:space="preserve">'Active' ✗</t>
  </si>
  <si>
    <t xml:space="preserve">Dates</t>
  </si>
  <si>
    <t xml:space="preserve">ISO 8601 (YYYY-MM-DD), stored as text on the Overview sheet.</t>
  </si>
  <si>
    <t xml:space="preserve">'2026-07-02'</t>
  </si>
  <si>
    <t xml:space="preserve">Text encoding</t>
  </si>
  <si>
    <t xml:space="preserve">UTF-8 throughout. CSV exports must be UTF-8 (no BOM issues into Postgres COPY).</t>
  </si>
  <si>
    <t xml:space="preserve">Duplicate Handling</t>
  </si>
  <si>
    <t xml:space="preserve">Scenario</t>
  </si>
  <si>
    <t xml:space="preserve">Resolution</t>
  </si>
  <si>
    <t xml:space="preserve">Same brand appears twice with different spellings</t>
  </si>
  <si>
    <t xml:space="preserve">Keep one canonical row; move the other spelling into Alternative Names.</t>
  </si>
  <si>
    <t xml:space="preserve">e.g. 'Škoda' folded into 'Skoda'.</t>
  </si>
  <si>
    <t xml:space="preserve">Same model under two brands (rebadge)</t>
  </si>
  <si>
    <t xml:space="preserve">Create one row per brand. Cross-reference in Notes; do not merge.</t>
  </si>
  <si>
    <t xml:space="preserve">e.g. 301/C-Elysée-type platform twins listed under each marque.</t>
  </si>
  <si>
    <t xml:space="preserve">Re-import of an existing dataset</t>
  </si>
  <si>
    <t xml:space="preserve">Upsert on external_ref (Brand ID / Model ID). Update mutable fields; never change slug or external_ref.</t>
  </si>
  <si>
    <t xml:space="preserve">Guarantees idempotent imports into Supabase.</t>
  </si>
  <si>
    <t xml:space="preserve">Row deleted from the workbook</t>
  </si>
  <si>
    <t xml:space="preserve">Do NOT hard-delete in DB. Set status to 'draft' (soft retire) to preserve references from parts requests.</t>
  </si>
  <si>
    <t xml:space="preserve">Marketplace history must never break.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</si>
</sst>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5EBC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8"/>
      <color rgb="FF5B6472"/>
      <name val="Arial"/>
      <family val="0"/>
      <charset val="1"/>
    </font>
    <font>
      <b val="true"/>
      <sz val="11"/>
      <color rgb="FF1E7A46"/>
      <name val="Arial"/>
      <family val="0"/>
      <charset val="1"/>
    </font>
    <font>
      <b val="true"/>
      <sz val="8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4"/>
      <color rgb="FFC9A227"/>
      <name val="Arial"/>
      <family val="0"/>
      <charset val="1"/>
    </font>
    <font>
      <sz val="10"/>
      <color rgb="FF3B4A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F5EBCF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C7CDD8"/>
      </left>
      <right style="thin">
        <color rgb="FFC7CDD8"/>
      </right>
      <top style="thin">
        <color rgb="FFC7CDD8"/>
      </top>
      <bottom style="thin">
        <color rgb="FFC7C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5EBCF"/>
      <rgbColor rgb="FFF2F4F8"/>
      <rgbColor rgb="FF660066"/>
      <rgbColor rgb="FFFF8080"/>
      <rgbColor rgb="FF0066CC"/>
      <rgbColor rgb="FFC7C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B6472"/>
      <rgbColor rgb="FF969696"/>
      <rgbColor rgb="FF1B2A4A"/>
      <rgbColor rgb="FF339966"/>
      <rgbColor rgb="FF003300"/>
      <rgbColor rgb="FF333300"/>
      <rgbColor rgb="FF993300"/>
      <rgbColor rgb="FF993366"/>
      <rgbColor rgb="FF3B4A6B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rands" displayName="tblBrands" ref="A12:I43" headerRowCount="1" totalsRowCount="0" totalsRowShown="0">
  <autoFilter ref="A12:I43"/>
  <tableColumns count="9">
    <tableColumn id="1" name="Brand ID"/>
    <tableColumn id="2" name="Brand Name"/>
    <tableColumn id="3" name="Slug"/>
    <tableColumn id="4" name="Country"/>
    <tableColumn id="5" name="Parent Group"/>
    <tableColumn id="6" name="Alternative Names"/>
    <tableColumn id="7" name="Popularity Algeria"/>
    <tableColumn id="8" name="Status"/>
    <tableColumn id="9" name="Notes"/>
  </tableColumns>
</table>
</file>

<file path=xl/tables/table2.xml><?xml version="1.0" encoding="utf-8"?>
<table xmlns="http://schemas.openxmlformats.org/spreadsheetml/2006/main" id="2" name="tblDupes" displayName="tblDupes" ref="A44:C48" headerRowCount="1" totalsRowCount="0" totalsRowShown="0">
  <autoFilter ref="A44:C48"/>
  <tableColumns count="3">
    <tableColumn id="1" name="Scenario"/>
    <tableColumn id="2" name="Resolution"/>
    <tableColumn id="3" name="Notes"/>
  </tableColumns>
</table>
</file>

<file path=xl/tables/table3.xml><?xml version="1.0" encoding="utf-8"?>
<table xmlns="http://schemas.openxmlformats.org/spreadsheetml/2006/main" id="3" name="tblMapping" displayName="tblMapping" ref="A11:F36" headerRowCount="1" totalsRowCount="0" totalsRowShown="0">
  <autoFilter ref="A11:F36"/>
  <tableColumns count="6">
    <tableColumn id="1" name="Workbook Sheet"/>
    <tableColumn id="2" name="Workbook Column"/>
    <tableColumn id="3" name="DB Table"/>
    <tableColumn id="4" name="DB Column"/>
    <tableColumn id="5" name="PostgreSQL Type"/>
    <tableColumn id="6" name="Constraint / Rule"/>
  </tableColumns>
</table>
</file>

<file path=xl/tables/table4.xml><?xml version="1.0" encoding="utf-8"?>
<table xmlns="http://schemas.openxmlformats.org/spreadsheetml/2006/main" id="4" name="tblModels" displayName="tblModels" ref="A13:J187" headerRowCount="1" totalsRowCount="0" totalsRowShown="0">
  <autoFilter ref="A13:J187"/>
  <tableColumns count="10">
    <tableColumn id="1" name="Model ID"/>
    <tableColumn id="2" name="Brand ID"/>
    <tableColumn id="3" name="Brand Name"/>
    <tableColumn id="4" name="Model Name"/>
    <tableColumn id="5" name="Slug"/>
    <tableColumn id="6" name="Vehicle Type"/>
    <tableColumn id="7" name="Alternative Names"/>
    <tableColumn id="8" name="Popularity Algeria"/>
    <tableColumn id="9" name="Status"/>
    <tableColumn id="10" name="Notes"/>
  </tableColumns>
</table>
</file>

<file path=xl/tables/table5.xml><?xml version="1.0" encoding="utf-8"?>
<table xmlns="http://schemas.openxmlformats.org/spreadsheetml/2006/main" id="5" name="tblNorm" displayName="tblNorm" ref="A34:C41" headerRowCount="1" totalsRowCount="0" totalsRowShown="0">
  <autoFilter ref="A34:C41"/>
  <tableColumns count="3">
    <tableColumn id="1" name="Field"/>
    <tableColumn id="2" name="Rule"/>
    <tableColumn id="3" name="Examples"/>
  </tableColumns>
</table>
</file>

<file path=xl/tables/table6.xml><?xml version="1.0" encoding="utf-8"?>
<table xmlns="http://schemas.openxmlformats.org/spreadsheetml/2006/main" id="6" name="tblOptFields" displayName="tblOptFields" ref="A15:C17" headerRowCount="1" totalsRowCount="0" totalsRowShown="0">
  <autoFilter ref="A15:C17"/>
  <tableColumns count="3">
    <tableColumn id="1" name="Sheet"/>
    <tableColumn id="2" name="Optional Columns"/>
    <tableColumn id="3" name="Behavior when blank"/>
  </tableColumns>
</table>
</file>

<file path=xl/tables/table7.xml><?xml version="1.0" encoding="utf-8"?>
<table xmlns="http://schemas.openxmlformats.org/spreadsheetml/2006/main" id="7" name="tblReqFields" displayName="tblReqFields" ref="A9:C12" headerRowCount="1" totalsRowCount="0" totalsRowShown="0">
  <autoFilter ref="A9:C12"/>
  <tableColumns count="3">
    <tableColumn id="1" name="Sheet"/>
    <tableColumn id="2" name="Required Columns"/>
    <tableColumn id="3" name="Why"/>
  </tableColumns>
</table>
</file>

<file path=xl/tables/table8.xml><?xml version="1.0" encoding="utf-8"?>
<table xmlns="http://schemas.openxmlformats.org/spreadsheetml/2006/main" id="8" name="tblSlugs" displayName="tblSlugs" ref="A26:C31" headerRowCount="1" totalsRowCount="0" totalsRowShown="0">
  <autoFilter ref="A26:C31"/>
  <tableColumns count="3">
    <tableColumn id="1" name="Rule"/>
    <tableColumn id="2" name="Definition"/>
    <tableColumn id="3" name="Examples"/>
  </tableColumns>
</table>
</file>

<file path=xl/tables/table9.xml><?xml version="1.0" encoding="utf-8"?>
<table xmlns="http://schemas.openxmlformats.org/spreadsheetml/2006/main" id="9" name="tblUnique" displayName="tblUnique" ref="A20:C23" headerRowCount="1" totalsRowCount="0" totalsRowShown="0">
  <autoFilter ref="A20:C23"/>
  <tableColumns count="3">
    <tableColumn id="1" name="Scope"/>
    <tableColumn id="2" name="Constraint"/>
    <tableColumn id="3" name="Enforce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3</v>
      </c>
      <c r="B5" s="4"/>
      <c r="C5" s="4"/>
      <c r="D5" s="4"/>
    </row>
    <row r="6" customFormat="false" ht="25.5" hidden="false" customHeight="true" outlineLevel="0" collapsed="false">
      <c r="A6" s="4" t="s">
        <v>4</v>
      </c>
      <c r="B6" s="4"/>
      <c r="C6" s="4"/>
      <c r="D6" s="4"/>
    </row>
    <row r="7" customFormat="false" ht="25.5" hidden="false" customHeight="true" outlineLevel="0" collapsed="false">
      <c r="A7" s="4" t="s">
        <v>5</v>
      </c>
      <c r="B7" s="4"/>
      <c r="C7" s="4"/>
      <c r="D7" s="4"/>
    </row>
    <row r="8" customFormat="false" ht="25.5" hidden="false" customHeight="true" outlineLevel="0" collapsed="false">
      <c r="A8" s="4" t="s">
        <v>6</v>
      </c>
      <c r="B8" s="4"/>
      <c r="C8" s="4"/>
      <c r="D8" s="4"/>
    </row>
    <row r="10" customFormat="false" ht="19.5" hidden="false" customHeight="true" outlineLevel="0" collapsed="false">
      <c r="A10" s="5" t="s">
        <v>7</v>
      </c>
      <c r="B10" s="5"/>
      <c r="C10" s="5"/>
      <c r="D10" s="5"/>
    </row>
    <row r="11" customFormat="false" ht="27.75" hidden="false" customHeight="true" outlineLevel="0" collapsed="false">
      <c r="A11" s="6" t="s">
        <v>8</v>
      </c>
      <c r="B11" s="7" t="s">
        <v>9</v>
      </c>
      <c r="C11" s="8" t="s">
        <v>10</v>
      </c>
      <c r="D11" s="8"/>
    </row>
    <row r="12" customFormat="false" ht="27.75" hidden="false" customHeight="true" outlineLevel="0" collapsed="false">
      <c r="A12" s="6" t="s">
        <v>11</v>
      </c>
      <c r="B12" s="7" t="s">
        <v>12</v>
      </c>
      <c r="C12" s="8" t="s">
        <v>13</v>
      </c>
      <c r="D12" s="8"/>
    </row>
    <row r="13" customFormat="false" ht="27.75" hidden="false" customHeight="true" outlineLevel="0" collapsed="false">
      <c r="A13" s="6" t="s">
        <v>14</v>
      </c>
      <c r="B13" s="7" t="s">
        <v>15</v>
      </c>
      <c r="C13" s="8" t="s">
        <v>16</v>
      </c>
      <c r="D13" s="8"/>
    </row>
    <row r="14" customFormat="false" ht="27.75" hidden="false" customHeight="true" outlineLevel="0" collapsed="false">
      <c r="A14" s="6" t="s">
        <v>17</v>
      </c>
      <c r="B14" s="7" t="s">
        <v>18</v>
      </c>
      <c r="C14" s="8" t="s">
        <v>19</v>
      </c>
      <c r="D14" s="8"/>
    </row>
    <row r="15" customFormat="false" ht="27.75" hidden="false" customHeight="true" outlineLevel="0" collapsed="false">
      <c r="A15" s="6" t="s">
        <v>20</v>
      </c>
      <c r="B15" s="7" t="s">
        <v>21</v>
      </c>
      <c r="C15" s="8" t="s">
        <v>22</v>
      </c>
      <c r="D15" s="8"/>
    </row>
    <row r="16" customFormat="false" ht="27.75" hidden="false" customHeight="true" outlineLevel="0" collapsed="false">
      <c r="A16" s="6" t="s">
        <v>23</v>
      </c>
      <c r="B16" s="7" t="s">
        <v>24</v>
      </c>
      <c r="C16" s="8" t="s">
        <v>25</v>
      </c>
      <c r="D16" s="8"/>
    </row>
    <row r="17" customFormat="false" ht="27.75" hidden="false" customHeight="true" outlineLevel="0" collapsed="false">
      <c r="A17" s="6" t="s">
        <v>26</v>
      </c>
      <c r="B17" s="7" t="s">
        <v>27</v>
      </c>
      <c r="C17" s="8" t="s">
        <v>28</v>
      </c>
      <c r="D17" s="8"/>
    </row>
    <row r="18" customFormat="false" ht="27.75" hidden="false" customHeight="true" outlineLevel="0" collapsed="false">
      <c r="A18" s="6" t="s">
        <v>29</v>
      </c>
      <c r="B18" s="7" t="s">
        <v>30</v>
      </c>
      <c r="C18" s="8" t="s">
        <v>31</v>
      </c>
      <c r="D18" s="8"/>
    </row>
    <row r="19" customFormat="false" ht="27.75" hidden="false" customHeight="true" outlineLevel="0" collapsed="false">
      <c r="A19" s="6" t="s">
        <v>32</v>
      </c>
      <c r="B19" s="7" t="s">
        <v>33</v>
      </c>
      <c r="C19" s="8" t="s">
        <v>34</v>
      </c>
      <c r="D19" s="8"/>
    </row>
    <row r="21" customFormat="false" ht="19.5" hidden="false" customHeight="true" outlineLevel="0" collapsed="false">
      <c r="A21" s="5" t="s">
        <v>35</v>
      </c>
      <c r="B21" s="5"/>
      <c r="C21" s="5"/>
      <c r="D21" s="5"/>
    </row>
    <row r="22" customFormat="false" ht="19.5" hidden="false" customHeight="true" outlineLevel="0" collapsed="false">
      <c r="A22" s="6" t="s">
        <v>36</v>
      </c>
      <c r="B22" s="9" t="n">
        <f aca="false">COUNTA(tblBrands[Brand ID])</f>
        <v>31</v>
      </c>
      <c r="C22" s="8" t="s">
        <v>37</v>
      </c>
      <c r="D22" s="8"/>
    </row>
    <row r="23" customFormat="false" ht="19.5" hidden="false" customHeight="true" outlineLevel="0" collapsed="false">
      <c r="A23" s="6" t="s">
        <v>38</v>
      </c>
      <c r="B23" s="9" t="n">
        <f aca="false">COUNTA(tblModels[Model ID])</f>
        <v>174</v>
      </c>
      <c r="C23" s="8" t="s">
        <v>37</v>
      </c>
      <c r="D23" s="8"/>
    </row>
    <row r="24" customFormat="false" ht="19.5" hidden="false" customHeight="true" outlineLevel="0" collapsed="false">
      <c r="A24" s="6" t="s">
        <v>39</v>
      </c>
      <c r="B24" s="9" t="n">
        <f aca="false">COUNTIF(tblBrands[Status],"active")</f>
        <v>31</v>
      </c>
      <c r="C24" s="8" t="s">
        <v>37</v>
      </c>
      <c r="D24" s="8"/>
    </row>
    <row r="25" customFormat="false" ht="19.5" hidden="false" customHeight="true" outlineLevel="0" collapsed="false">
      <c r="A25" s="6" t="s">
        <v>40</v>
      </c>
      <c r="B25" s="9" t="n">
        <f aca="false">COUNTIF(tblModels[Status],"active")</f>
        <v>174</v>
      </c>
      <c r="C25" s="8" t="s">
        <v>37</v>
      </c>
      <c r="D25" s="8"/>
    </row>
    <row r="27" customFormat="false" ht="19.5" hidden="false" customHeight="true" outlineLevel="0" collapsed="false">
      <c r="A27" s="5" t="s">
        <v>41</v>
      </c>
      <c r="B27" s="5"/>
      <c r="C27" s="5"/>
      <c r="D27" s="5"/>
    </row>
    <row r="28" customFormat="false" ht="15" hidden="false" customHeight="true" outlineLevel="0" collapsed="false">
      <c r="A28" s="10" t="s">
        <v>42</v>
      </c>
      <c r="B28" s="10"/>
      <c r="C28" s="10"/>
      <c r="D28" s="10"/>
    </row>
    <row r="29" customFormat="false" ht="15" hidden="false" customHeight="true" outlineLevel="0" collapsed="false">
      <c r="A29" s="10" t="s">
        <v>43</v>
      </c>
      <c r="B29" s="10"/>
      <c r="C29" s="10"/>
      <c r="D29" s="10"/>
    </row>
    <row r="30" customFormat="false" ht="25.5" hidden="false" customHeight="true" outlineLevel="0" collapsed="false">
      <c r="A30" s="10" t="s">
        <v>44</v>
      </c>
      <c r="B30" s="10"/>
      <c r="C30" s="10"/>
      <c r="D30" s="10"/>
    </row>
    <row r="31" customFormat="false" ht="25.5" hidden="false" customHeight="true" outlineLevel="0" collapsed="false">
      <c r="A31" s="10" t="s">
        <v>45</v>
      </c>
      <c r="B31" s="10"/>
      <c r="C31" s="10"/>
      <c r="D31" s="10"/>
    </row>
    <row r="32" customFormat="false" ht="15" hidden="false" customHeight="true" outlineLevel="0" collapsed="false">
      <c r="A32" s="10" t="s">
        <v>46</v>
      </c>
      <c r="B32" s="10"/>
      <c r="C32" s="10"/>
      <c r="D32" s="10"/>
    </row>
  </sheetData>
  <mergeCells count="28">
    <mergeCell ref="A1:D1"/>
    <mergeCell ref="A2:D2"/>
    <mergeCell ref="A4:D4"/>
    <mergeCell ref="A5:D5"/>
    <mergeCell ref="A6:D6"/>
    <mergeCell ref="A7:D7"/>
    <mergeCell ref="A8:D8"/>
    <mergeCell ref="A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C25:D25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true" outlineLevel="0" collapsed="false">
      <c r="A5" s="4" t="s">
        <v>49</v>
      </c>
      <c r="B5" s="4"/>
      <c r="C5" s="4"/>
      <c r="D5" s="4"/>
      <c r="E5" s="4"/>
      <c r="F5" s="4"/>
      <c r="G5" s="4"/>
      <c r="H5" s="4"/>
      <c r="I5" s="4"/>
    </row>
    <row r="6" customFormat="false" ht="13.5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  <c r="I6" s="4"/>
    </row>
    <row r="7" customFormat="false" ht="25.5" hidden="false" customHeight="true" outlineLevel="0" collapsed="false">
      <c r="A7" s="4" t="s">
        <v>51</v>
      </c>
      <c r="B7" s="4"/>
      <c r="C7" s="4"/>
      <c r="D7" s="4"/>
      <c r="E7" s="4"/>
      <c r="F7" s="4"/>
      <c r="G7" s="4"/>
      <c r="H7" s="4"/>
      <c r="I7" s="4"/>
    </row>
    <row r="8" customFormat="false" ht="25.5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  <c r="I8" s="4"/>
    </row>
    <row r="10" customFormat="false" ht="15" hidden="false" customHeight="false" outlineLevel="0" collapsed="false">
      <c r="A10" s="11" t="s">
        <v>53</v>
      </c>
    </row>
    <row r="11" customFormat="false" ht="51.75" hidden="false" customHeight="true" outlineLevel="0" collapsed="false">
      <c r="A11" s="12" t="s">
        <v>54</v>
      </c>
      <c r="B11" s="12" t="s">
        <v>55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61</v>
      </c>
      <c r="I11" s="12" t="s">
        <v>62</v>
      </c>
    </row>
    <row r="12" customFormat="false" ht="25.5" hidden="false" customHeight="true" outlineLevel="0" collapsed="false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</row>
    <row r="13" customFormat="false" ht="30" hidden="false" customHeight="true" outlineLevel="0" collapsed="false">
      <c r="A13" s="7" t="s">
        <v>72</v>
      </c>
      <c r="B13" s="7" t="s">
        <v>73</v>
      </c>
      <c r="C13" s="7" t="s">
        <v>74</v>
      </c>
      <c r="D13" s="7" t="s">
        <v>75</v>
      </c>
      <c r="E13" s="7" t="s">
        <v>76</v>
      </c>
      <c r="F13" s="7" t="s">
        <v>77</v>
      </c>
      <c r="G13" s="7" t="n">
        <v>1</v>
      </c>
      <c r="H13" s="7" t="s">
        <v>78</v>
      </c>
      <c r="I13" s="7" t="s">
        <v>79</v>
      </c>
    </row>
    <row r="14" customFormat="false" ht="30" hidden="false" customHeight="true" outlineLevel="0" collapsed="false">
      <c r="A14" s="7" t="s">
        <v>80</v>
      </c>
      <c r="B14" s="7" t="s">
        <v>81</v>
      </c>
      <c r="C14" s="7" t="s">
        <v>82</v>
      </c>
      <c r="D14" s="7" t="s">
        <v>83</v>
      </c>
      <c r="E14" s="7" t="s">
        <v>84</v>
      </c>
      <c r="F14" s="7" t="s">
        <v>85</v>
      </c>
      <c r="G14" s="7" t="n">
        <v>1</v>
      </c>
      <c r="H14" s="7" t="s">
        <v>78</v>
      </c>
      <c r="I14" s="7" t="s">
        <v>86</v>
      </c>
    </row>
    <row r="15" customFormat="false" ht="30" hidden="false" customHeight="true" outlineLevel="0" collapsed="false">
      <c r="A15" s="7" t="s">
        <v>87</v>
      </c>
      <c r="B15" s="7" t="s">
        <v>88</v>
      </c>
      <c r="C15" s="7" t="s">
        <v>89</v>
      </c>
      <c r="D15" s="7" t="s">
        <v>90</v>
      </c>
      <c r="E15" s="7" t="s">
        <v>91</v>
      </c>
      <c r="F15" s="7" t="s">
        <v>92</v>
      </c>
      <c r="G15" s="7" t="n">
        <v>1</v>
      </c>
      <c r="H15" s="7" t="s">
        <v>78</v>
      </c>
      <c r="I15" s="7" t="s">
        <v>93</v>
      </c>
    </row>
    <row r="16" customFormat="false" ht="30" hidden="false" customHeight="true" outlineLevel="0" collapsed="false">
      <c r="A16" s="7" t="s">
        <v>94</v>
      </c>
      <c r="B16" s="7" t="s">
        <v>95</v>
      </c>
      <c r="C16" s="7" t="s">
        <v>96</v>
      </c>
      <c r="D16" s="7" t="s">
        <v>90</v>
      </c>
      <c r="E16" s="7" t="s">
        <v>91</v>
      </c>
      <c r="F16" s="7" t="s">
        <v>97</v>
      </c>
      <c r="G16" s="7" t="n">
        <v>1</v>
      </c>
      <c r="H16" s="7" t="s">
        <v>78</v>
      </c>
      <c r="I16" s="7" t="s">
        <v>98</v>
      </c>
    </row>
    <row r="17" customFormat="false" ht="30" hidden="false" customHeight="true" outlineLevel="0" collapsed="false">
      <c r="A17" s="7" t="s">
        <v>99</v>
      </c>
      <c r="B17" s="7" t="s">
        <v>100</v>
      </c>
      <c r="C17" s="7" t="s">
        <v>101</v>
      </c>
      <c r="D17" s="7" t="s">
        <v>102</v>
      </c>
      <c r="E17" s="7" t="s">
        <v>84</v>
      </c>
      <c r="F17" s="7" t="s">
        <v>103</v>
      </c>
      <c r="G17" s="7" t="n">
        <v>1</v>
      </c>
      <c r="H17" s="7" t="s">
        <v>78</v>
      </c>
      <c r="I17" s="7" t="s">
        <v>104</v>
      </c>
    </row>
    <row r="18" customFormat="false" ht="30" hidden="false" customHeight="true" outlineLevel="0" collapsed="false">
      <c r="A18" s="7" t="s">
        <v>105</v>
      </c>
      <c r="B18" s="7" t="s">
        <v>106</v>
      </c>
      <c r="C18" s="7" t="s">
        <v>107</v>
      </c>
      <c r="D18" s="7" t="s">
        <v>102</v>
      </c>
      <c r="E18" s="7" t="s">
        <v>76</v>
      </c>
      <c r="F18" s="7" t="s">
        <v>108</v>
      </c>
      <c r="G18" s="7" t="n">
        <v>1</v>
      </c>
      <c r="H18" s="7" t="s">
        <v>78</v>
      </c>
      <c r="I18" s="7" t="s">
        <v>109</v>
      </c>
    </row>
    <row r="19" customFormat="false" ht="30" hidden="false" customHeight="true" outlineLevel="0" collapsed="false">
      <c r="A19" s="7" t="s">
        <v>110</v>
      </c>
      <c r="B19" s="7" t="s">
        <v>111</v>
      </c>
      <c r="C19" s="7" t="s">
        <v>112</v>
      </c>
      <c r="D19" s="7" t="s">
        <v>113</v>
      </c>
      <c r="E19" s="7" t="s">
        <v>114</v>
      </c>
      <c r="F19" s="7" t="s">
        <v>115</v>
      </c>
      <c r="G19" s="7" t="n">
        <v>1</v>
      </c>
      <c r="H19" s="7" t="s">
        <v>78</v>
      </c>
      <c r="I19" s="7" t="s">
        <v>116</v>
      </c>
    </row>
    <row r="20" customFormat="false" ht="30" hidden="false" customHeight="true" outlineLevel="0" collapsed="false">
      <c r="A20" s="7" t="s">
        <v>117</v>
      </c>
      <c r="B20" s="7" t="s">
        <v>118</v>
      </c>
      <c r="C20" s="7" t="s">
        <v>119</v>
      </c>
      <c r="D20" s="7" t="s">
        <v>120</v>
      </c>
      <c r="E20" s="7" t="s">
        <v>121</v>
      </c>
      <c r="F20" s="7" t="s">
        <v>122</v>
      </c>
      <c r="G20" s="7" t="n">
        <v>1</v>
      </c>
      <c r="H20" s="7" t="s">
        <v>78</v>
      </c>
      <c r="I20" s="7" t="s">
        <v>123</v>
      </c>
    </row>
    <row r="21" customFormat="false" ht="30" hidden="false" customHeight="true" outlineLevel="0" collapsed="false">
      <c r="A21" s="7" t="s">
        <v>124</v>
      </c>
      <c r="B21" s="7" t="s">
        <v>125</v>
      </c>
      <c r="C21" s="7" t="s">
        <v>126</v>
      </c>
      <c r="D21" s="7" t="s">
        <v>120</v>
      </c>
      <c r="E21" s="7" t="s">
        <v>127</v>
      </c>
      <c r="F21" s="7" t="s">
        <v>128</v>
      </c>
      <c r="G21" s="7" t="n">
        <v>2</v>
      </c>
      <c r="H21" s="7" t="s">
        <v>78</v>
      </c>
      <c r="I21" s="7" t="s">
        <v>129</v>
      </c>
    </row>
    <row r="22" customFormat="false" ht="30" hidden="false" customHeight="true" outlineLevel="0" collapsed="false">
      <c r="A22" s="7" t="s">
        <v>130</v>
      </c>
      <c r="B22" s="7" t="s">
        <v>131</v>
      </c>
      <c r="C22" s="7" t="s">
        <v>132</v>
      </c>
      <c r="D22" s="7" t="s">
        <v>133</v>
      </c>
      <c r="E22" s="7" t="s">
        <v>134</v>
      </c>
      <c r="F22" s="7" t="s">
        <v>135</v>
      </c>
      <c r="G22" s="7" t="n">
        <v>2</v>
      </c>
      <c r="H22" s="7" t="s">
        <v>78</v>
      </c>
      <c r="I22" s="7" t="s">
        <v>136</v>
      </c>
    </row>
    <row r="23" customFormat="false" ht="30" hidden="false" customHeight="true" outlineLevel="0" collapsed="false">
      <c r="A23" s="7" t="s">
        <v>137</v>
      </c>
      <c r="B23" s="7" t="s">
        <v>138</v>
      </c>
      <c r="C23" s="7" t="s">
        <v>139</v>
      </c>
      <c r="D23" s="7" t="s">
        <v>140</v>
      </c>
      <c r="E23" s="7" t="s">
        <v>141</v>
      </c>
      <c r="F23" s="7" t="s">
        <v>142</v>
      </c>
      <c r="G23" s="7" t="n">
        <v>2</v>
      </c>
      <c r="H23" s="7" t="s">
        <v>78</v>
      </c>
      <c r="I23" s="7" t="s">
        <v>143</v>
      </c>
    </row>
    <row r="24" customFormat="false" ht="30" hidden="false" customHeight="true" outlineLevel="0" collapsed="false">
      <c r="A24" s="7" t="s">
        <v>144</v>
      </c>
      <c r="B24" s="7" t="s">
        <v>145</v>
      </c>
      <c r="C24" s="7" t="s">
        <v>146</v>
      </c>
      <c r="D24" s="7" t="s">
        <v>102</v>
      </c>
      <c r="E24" s="7" t="s">
        <v>84</v>
      </c>
      <c r="F24" s="7" t="s">
        <v>147</v>
      </c>
      <c r="G24" s="7" t="n">
        <v>2</v>
      </c>
      <c r="H24" s="7" t="s">
        <v>78</v>
      </c>
      <c r="I24" s="7" t="s">
        <v>148</v>
      </c>
    </row>
    <row r="25" customFormat="false" ht="30" hidden="false" customHeight="true" outlineLevel="0" collapsed="false">
      <c r="A25" s="7" t="s">
        <v>149</v>
      </c>
      <c r="B25" s="7" t="s">
        <v>150</v>
      </c>
      <c r="C25" s="7" t="s">
        <v>151</v>
      </c>
      <c r="D25" s="7" t="s">
        <v>90</v>
      </c>
      <c r="E25" s="7" t="s">
        <v>152</v>
      </c>
      <c r="F25" s="7" t="s">
        <v>153</v>
      </c>
      <c r="G25" s="7" t="n">
        <v>2</v>
      </c>
      <c r="H25" s="7" t="s">
        <v>78</v>
      </c>
      <c r="I25" s="7" t="s">
        <v>154</v>
      </c>
    </row>
    <row r="26" customFormat="false" ht="30" hidden="false" customHeight="true" outlineLevel="0" collapsed="false">
      <c r="A26" s="7" t="s">
        <v>155</v>
      </c>
      <c r="B26" s="7" t="s">
        <v>156</v>
      </c>
      <c r="C26" s="7" t="s">
        <v>157</v>
      </c>
      <c r="D26" s="7" t="s">
        <v>140</v>
      </c>
      <c r="E26" s="7" t="s">
        <v>158</v>
      </c>
      <c r="F26" s="7" t="s">
        <v>159</v>
      </c>
      <c r="G26" s="7" t="n">
        <v>2</v>
      </c>
      <c r="H26" s="7" t="s">
        <v>78</v>
      </c>
      <c r="I26" s="7" t="s">
        <v>160</v>
      </c>
    </row>
    <row r="27" customFormat="false" ht="30" hidden="false" customHeight="true" outlineLevel="0" collapsed="false">
      <c r="A27" s="7" t="s">
        <v>161</v>
      </c>
      <c r="B27" s="7" t="s">
        <v>162</v>
      </c>
      <c r="C27" s="7" t="s">
        <v>163</v>
      </c>
      <c r="D27" s="7" t="s">
        <v>133</v>
      </c>
      <c r="E27" s="7" t="s">
        <v>164</v>
      </c>
      <c r="F27" s="7" t="s">
        <v>165</v>
      </c>
      <c r="G27" s="7" t="n">
        <v>2</v>
      </c>
      <c r="H27" s="7" t="s">
        <v>78</v>
      </c>
      <c r="I27" s="7" t="s">
        <v>166</v>
      </c>
    </row>
    <row r="28" customFormat="false" ht="30" hidden="false" customHeight="true" outlineLevel="0" collapsed="false">
      <c r="A28" s="7" t="s">
        <v>167</v>
      </c>
      <c r="B28" s="7" t="s">
        <v>168</v>
      </c>
      <c r="C28" s="7" t="s">
        <v>169</v>
      </c>
      <c r="D28" s="7" t="s">
        <v>120</v>
      </c>
      <c r="E28" s="7" t="s">
        <v>170</v>
      </c>
      <c r="F28" s="7" t="s">
        <v>171</v>
      </c>
      <c r="G28" s="7" t="n">
        <v>2</v>
      </c>
      <c r="H28" s="7" t="s">
        <v>78</v>
      </c>
      <c r="I28" s="7" t="s">
        <v>172</v>
      </c>
    </row>
    <row r="29" customFormat="false" ht="30" hidden="false" customHeight="true" outlineLevel="0" collapsed="false">
      <c r="A29" s="7" t="s">
        <v>173</v>
      </c>
      <c r="B29" s="7" t="s">
        <v>174</v>
      </c>
      <c r="C29" s="7" t="s">
        <v>175</v>
      </c>
      <c r="D29" s="7" t="s">
        <v>113</v>
      </c>
      <c r="E29" s="7" t="s">
        <v>176</v>
      </c>
      <c r="F29" s="7" t="s">
        <v>177</v>
      </c>
      <c r="G29" s="7" t="n">
        <v>2</v>
      </c>
      <c r="H29" s="7" t="s">
        <v>78</v>
      </c>
      <c r="I29" s="7" t="s">
        <v>178</v>
      </c>
    </row>
    <row r="30" customFormat="false" ht="30" hidden="false" customHeight="true" outlineLevel="0" collapsed="false">
      <c r="A30" s="7" t="s">
        <v>179</v>
      </c>
      <c r="B30" s="7" t="s">
        <v>180</v>
      </c>
      <c r="C30" s="7" t="s">
        <v>181</v>
      </c>
      <c r="D30" s="7" t="s">
        <v>113</v>
      </c>
      <c r="E30" s="7" t="s">
        <v>182</v>
      </c>
      <c r="F30" s="7" t="s">
        <v>183</v>
      </c>
      <c r="G30" s="7" t="n">
        <v>2</v>
      </c>
      <c r="H30" s="7" t="s">
        <v>78</v>
      </c>
      <c r="I30" s="7" t="s">
        <v>184</v>
      </c>
    </row>
    <row r="31" customFormat="false" ht="30" hidden="false" customHeight="true" outlineLevel="0" collapsed="false">
      <c r="A31" s="7" t="s">
        <v>185</v>
      </c>
      <c r="B31" s="7" t="s">
        <v>186</v>
      </c>
      <c r="C31" s="7" t="s">
        <v>187</v>
      </c>
      <c r="D31" s="7" t="s">
        <v>120</v>
      </c>
      <c r="E31" s="7" t="s">
        <v>84</v>
      </c>
      <c r="F31" s="7" t="s">
        <v>188</v>
      </c>
      <c r="G31" s="7" t="n">
        <v>2</v>
      </c>
      <c r="H31" s="7" t="s">
        <v>78</v>
      </c>
      <c r="I31" s="7" t="s">
        <v>189</v>
      </c>
    </row>
    <row r="32" customFormat="false" ht="30" hidden="false" customHeight="true" outlineLevel="0" collapsed="false">
      <c r="A32" s="7" t="s">
        <v>190</v>
      </c>
      <c r="B32" s="7" t="s">
        <v>191</v>
      </c>
      <c r="C32" s="7" t="s">
        <v>192</v>
      </c>
      <c r="D32" s="7" t="s">
        <v>193</v>
      </c>
      <c r="E32" s="7" t="s">
        <v>121</v>
      </c>
      <c r="F32" s="7" t="s">
        <v>194</v>
      </c>
      <c r="G32" s="7" t="n">
        <v>2</v>
      </c>
      <c r="H32" s="7" t="s">
        <v>78</v>
      </c>
      <c r="I32" s="7" t="s">
        <v>195</v>
      </c>
    </row>
    <row r="33" customFormat="false" ht="30" hidden="false" customHeight="true" outlineLevel="0" collapsed="false">
      <c r="A33" s="7" t="s">
        <v>196</v>
      </c>
      <c r="B33" s="7" t="s">
        <v>197</v>
      </c>
      <c r="C33" s="7" t="s">
        <v>198</v>
      </c>
      <c r="D33" s="7" t="s">
        <v>199</v>
      </c>
      <c r="E33" s="7" t="s">
        <v>121</v>
      </c>
      <c r="F33" s="7" t="s">
        <v>200</v>
      </c>
      <c r="G33" s="7" t="n">
        <v>2</v>
      </c>
      <c r="H33" s="7" t="s">
        <v>78</v>
      </c>
      <c r="I33" s="7" t="s">
        <v>201</v>
      </c>
    </row>
    <row r="34" customFormat="false" ht="30" hidden="false" customHeight="true" outlineLevel="0" collapsed="false">
      <c r="A34" s="7" t="s">
        <v>202</v>
      </c>
      <c r="B34" s="7" t="s">
        <v>203</v>
      </c>
      <c r="C34" s="7" t="s">
        <v>204</v>
      </c>
      <c r="D34" s="7" t="s">
        <v>113</v>
      </c>
      <c r="E34" s="7" t="s">
        <v>205</v>
      </c>
      <c r="F34" s="7" t="s">
        <v>206</v>
      </c>
      <c r="G34" s="7" t="n">
        <v>2</v>
      </c>
      <c r="H34" s="7" t="s">
        <v>78</v>
      </c>
      <c r="I34" s="7" t="s">
        <v>207</v>
      </c>
    </row>
    <row r="35" customFormat="false" ht="30" hidden="false" customHeight="true" outlineLevel="0" collapsed="false">
      <c r="A35" s="7" t="s">
        <v>208</v>
      </c>
      <c r="B35" s="7" t="s">
        <v>209</v>
      </c>
      <c r="C35" s="7" t="s">
        <v>210</v>
      </c>
      <c r="D35" s="7" t="s">
        <v>120</v>
      </c>
      <c r="E35" s="7" t="s">
        <v>121</v>
      </c>
      <c r="F35" s="7" t="s">
        <v>211</v>
      </c>
      <c r="G35" s="7" t="n">
        <v>3</v>
      </c>
      <c r="H35" s="7" t="s">
        <v>78</v>
      </c>
      <c r="I35" s="7" t="s">
        <v>212</v>
      </c>
    </row>
    <row r="36" customFormat="false" ht="30" hidden="false" customHeight="true" outlineLevel="0" collapsed="false">
      <c r="A36" s="7" t="s">
        <v>213</v>
      </c>
      <c r="B36" s="7" t="s">
        <v>214</v>
      </c>
      <c r="C36" s="7" t="s">
        <v>215</v>
      </c>
      <c r="D36" s="7" t="s">
        <v>133</v>
      </c>
      <c r="E36" s="7" t="s">
        <v>216</v>
      </c>
      <c r="F36" s="7" t="s">
        <v>217</v>
      </c>
      <c r="G36" s="7" t="n">
        <v>3</v>
      </c>
      <c r="H36" s="7" t="s">
        <v>78</v>
      </c>
      <c r="I36" s="7" t="s">
        <v>218</v>
      </c>
    </row>
    <row r="37" customFormat="false" ht="30" hidden="false" customHeight="true" outlineLevel="0" collapsed="false">
      <c r="A37" s="7" t="s">
        <v>219</v>
      </c>
      <c r="B37" s="7" t="s">
        <v>220</v>
      </c>
      <c r="C37" s="7" t="s">
        <v>221</v>
      </c>
      <c r="D37" s="7" t="s">
        <v>133</v>
      </c>
      <c r="E37" s="7" t="s">
        <v>222</v>
      </c>
      <c r="F37" s="7" t="s">
        <v>223</v>
      </c>
      <c r="G37" s="7" t="n">
        <v>3</v>
      </c>
      <c r="H37" s="7" t="s">
        <v>78</v>
      </c>
      <c r="I37" s="7" t="s">
        <v>224</v>
      </c>
    </row>
    <row r="38" customFormat="false" ht="30" hidden="false" customHeight="true" outlineLevel="0" collapsed="false">
      <c r="A38" s="7" t="s">
        <v>225</v>
      </c>
      <c r="B38" s="7" t="s">
        <v>226</v>
      </c>
      <c r="C38" s="7" t="s">
        <v>227</v>
      </c>
      <c r="D38" s="7" t="s">
        <v>113</v>
      </c>
      <c r="E38" s="7" t="s">
        <v>228</v>
      </c>
      <c r="F38" s="7" t="s">
        <v>229</v>
      </c>
      <c r="G38" s="7" t="n">
        <v>3</v>
      </c>
      <c r="H38" s="7" t="s">
        <v>78</v>
      </c>
      <c r="I38" s="7" t="s">
        <v>230</v>
      </c>
    </row>
    <row r="39" customFormat="false" ht="30" hidden="false" customHeight="true" outlineLevel="0" collapsed="false">
      <c r="A39" s="7" t="s">
        <v>231</v>
      </c>
      <c r="B39" s="7" t="s">
        <v>232</v>
      </c>
      <c r="C39" s="7" t="s">
        <v>233</v>
      </c>
      <c r="D39" s="7" t="s">
        <v>234</v>
      </c>
      <c r="E39" s="7" t="s">
        <v>235</v>
      </c>
      <c r="F39" s="7" t="s">
        <v>236</v>
      </c>
      <c r="G39" s="7" t="n">
        <v>3</v>
      </c>
      <c r="H39" s="7" t="s">
        <v>78</v>
      </c>
      <c r="I39" s="7" t="s">
        <v>237</v>
      </c>
    </row>
    <row r="40" customFormat="false" ht="30" hidden="false" customHeight="true" outlineLevel="0" collapsed="false">
      <c r="A40" s="7" t="s">
        <v>238</v>
      </c>
      <c r="B40" s="7" t="s">
        <v>239</v>
      </c>
      <c r="C40" s="7" t="s">
        <v>240</v>
      </c>
      <c r="D40" s="7" t="s">
        <v>241</v>
      </c>
      <c r="E40" s="7" t="s">
        <v>242</v>
      </c>
      <c r="F40" s="7" t="s">
        <v>243</v>
      </c>
      <c r="G40" s="7" t="n">
        <v>4</v>
      </c>
      <c r="H40" s="7" t="s">
        <v>78</v>
      </c>
      <c r="I40" s="7" t="s">
        <v>244</v>
      </c>
    </row>
    <row r="41" customFormat="false" ht="30" hidden="false" customHeight="true" outlineLevel="0" collapsed="false">
      <c r="A41" s="7" t="s">
        <v>245</v>
      </c>
      <c r="B41" s="7" t="s">
        <v>246</v>
      </c>
      <c r="C41" s="7" t="s">
        <v>247</v>
      </c>
      <c r="D41" s="7" t="s">
        <v>140</v>
      </c>
      <c r="E41" s="7" t="s">
        <v>84</v>
      </c>
      <c r="F41" s="7" t="s">
        <v>248</v>
      </c>
      <c r="G41" s="7" t="n">
        <v>4</v>
      </c>
      <c r="H41" s="7" t="s">
        <v>78</v>
      </c>
      <c r="I41" s="7" t="s">
        <v>249</v>
      </c>
    </row>
    <row r="42" customFormat="false" ht="30" hidden="false" customHeight="true" outlineLevel="0" collapsed="false">
      <c r="A42" s="7" t="s">
        <v>250</v>
      </c>
      <c r="B42" s="7" t="s">
        <v>251</v>
      </c>
      <c r="C42" s="7" t="s">
        <v>252</v>
      </c>
      <c r="D42" s="7" t="s">
        <v>253</v>
      </c>
      <c r="E42" s="7" t="s">
        <v>254</v>
      </c>
      <c r="F42" s="7" t="s">
        <v>255</v>
      </c>
      <c r="G42" s="7" t="n">
        <v>4</v>
      </c>
      <c r="H42" s="7" t="s">
        <v>78</v>
      </c>
      <c r="I42" s="7" t="s">
        <v>256</v>
      </c>
    </row>
    <row r="43" customFormat="false" ht="30" hidden="false" customHeight="true" outlineLevel="0" collapsed="false">
      <c r="A43" s="7" t="s">
        <v>257</v>
      </c>
      <c r="B43" s="7" t="s">
        <v>258</v>
      </c>
      <c r="C43" s="7" t="s">
        <v>259</v>
      </c>
      <c r="D43" s="7" t="s">
        <v>113</v>
      </c>
      <c r="E43" s="7" t="s">
        <v>260</v>
      </c>
      <c r="F43" s="7" t="s">
        <v>261</v>
      </c>
      <c r="G43" s="7" t="n">
        <v>4</v>
      </c>
      <c r="H43" s="7" t="s">
        <v>78</v>
      </c>
      <c r="I43" s="7" t="s">
        <v>262</v>
      </c>
    </row>
  </sheetData>
  <mergeCells count="7">
    <mergeCell ref="A1:I1"/>
    <mergeCell ref="A2:I2"/>
    <mergeCell ref="A4:I4"/>
    <mergeCell ref="A5:I5"/>
    <mergeCell ref="A6:I6"/>
    <mergeCell ref="A7:I7"/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6"/>
  </cols>
  <sheetData>
    <row r="1" customFormat="false" ht="30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264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3.5" hidden="false" customHeight="true" outlineLevel="0" collapsed="false">
      <c r="A5" s="4" t="s">
        <v>265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3.5" hidden="false" customHeight="true" outlineLevel="0" collapsed="false">
      <c r="A6" s="4" t="s">
        <v>266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3.5" hidden="false" customHeight="true" outlineLevel="0" collapsed="false">
      <c r="A7" s="4" t="s">
        <v>267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3.5" hidden="false" customHeight="true" outlineLevel="0" collapsed="false">
      <c r="A8" s="4" t="s">
        <v>268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3.5" hidden="false" customHeight="true" outlineLevel="0" collapsed="false">
      <c r="A9" s="4" t="s">
        <v>269</v>
      </c>
      <c r="B9" s="4"/>
      <c r="C9" s="4"/>
      <c r="D9" s="4"/>
      <c r="E9" s="4"/>
      <c r="F9" s="4"/>
      <c r="G9" s="4"/>
      <c r="H9" s="4"/>
      <c r="I9" s="4"/>
      <c r="J9" s="4"/>
    </row>
    <row r="11" customFormat="false" ht="15" hidden="false" customHeight="false" outlineLevel="0" collapsed="false">
      <c r="A11" s="11" t="s">
        <v>53</v>
      </c>
    </row>
    <row r="12" customFormat="false" ht="51.75" hidden="false" customHeight="true" outlineLevel="0" collapsed="false">
      <c r="A12" s="12" t="s">
        <v>270</v>
      </c>
      <c r="B12" s="12" t="s">
        <v>271</v>
      </c>
      <c r="C12" s="12" t="s">
        <v>272</v>
      </c>
      <c r="D12" s="12" t="s">
        <v>273</v>
      </c>
      <c r="E12" s="12" t="s">
        <v>274</v>
      </c>
      <c r="F12" s="12" t="s">
        <v>275</v>
      </c>
      <c r="G12" s="12" t="s">
        <v>276</v>
      </c>
      <c r="H12" s="12" t="s">
        <v>277</v>
      </c>
      <c r="I12" s="12" t="s">
        <v>61</v>
      </c>
      <c r="J12" s="12" t="s">
        <v>278</v>
      </c>
    </row>
    <row r="13" customFormat="false" ht="25.5" hidden="false" customHeight="true" outlineLevel="0" collapsed="false">
      <c r="A13" s="13" t="s">
        <v>279</v>
      </c>
      <c r="B13" s="13" t="s">
        <v>63</v>
      </c>
      <c r="C13" s="13" t="s">
        <v>64</v>
      </c>
      <c r="D13" s="13" t="s">
        <v>280</v>
      </c>
      <c r="E13" s="13" t="s">
        <v>65</v>
      </c>
      <c r="F13" s="13" t="s">
        <v>281</v>
      </c>
      <c r="G13" s="13" t="s">
        <v>68</v>
      </c>
      <c r="H13" s="13" t="s">
        <v>69</v>
      </c>
      <c r="I13" s="13" t="s">
        <v>70</v>
      </c>
      <c r="J13" s="13" t="s">
        <v>71</v>
      </c>
    </row>
    <row r="14" customFormat="false" ht="27.75" hidden="false" customHeight="true" outlineLevel="0" collapsed="false">
      <c r="A14" s="7" t="s">
        <v>282</v>
      </c>
      <c r="B14" s="7" t="s">
        <v>72</v>
      </c>
      <c r="C14" s="7" t="s">
        <v>73</v>
      </c>
      <c r="D14" s="7" t="s">
        <v>283</v>
      </c>
      <c r="E14" s="7" t="s">
        <v>284</v>
      </c>
      <c r="F14" s="7" t="s">
        <v>285</v>
      </c>
      <c r="G14" s="7" t="s">
        <v>286</v>
      </c>
      <c r="H14" s="7" t="n">
        <v>1</v>
      </c>
      <c r="I14" s="7" t="s">
        <v>78</v>
      </c>
      <c r="J14" s="7" t="s">
        <v>287</v>
      </c>
    </row>
    <row r="15" customFormat="false" ht="27.75" hidden="false" customHeight="true" outlineLevel="0" collapsed="false">
      <c r="A15" s="7" t="s">
        <v>288</v>
      </c>
      <c r="B15" s="7" t="s">
        <v>72</v>
      </c>
      <c r="C15" s="7" t="s">
        <v>73</v>
      </c>
      <c r="D15" s="7" t="s">
        <v>289</v>
      </c>
      <c r="E15" s="7" t="s">
        <v>290</v>
      </c>
      <c r="F15" s="7" t="s">
        <v>285</v>
      </c>
      <c r="G15" s="7" t="s">
        <v>291</v>
      </c>
      <c r="H15" s="7" t="n">
        <v>1</v>
      </c>
      <c r="I15" s="7" t="s">
        <v>78</v>
      </c>
      <c r="J15" s="7" t="s">
        <v>292</v>
      </c>
    </row>
    <row r="16" customFormat="false" ht="27.75" hidden="false" customHeight="true" outlineLevel="0" collapsed="false">
      <c r="A16" s="7" t="s">
        <v>293</v>
      </c>
      <c r="B16" s="7" t="s">
        <v>72</v>
      </c>
      <c r="C16" s="7" t="s">
        <v>73</v>
      </c>
      <c r="D16" s="7" t="s">
        <v>294</v>
      </c>
      <c r="E16" s="7" t="s">
        <v>295</v>
      </c>
      <c r="F16" s="7" t="s">
        <v>285</v>
      </c>
      <c r="G16" s="7" t="s">
        <v>296</v>
      </c>
      <c r="H16" s="7" t="n">
        <v>1</v>
      </c>
      <c r="I16" s="7" t="s">
        <v>78</v>
      </c>
      <c r="J16" s="7" t="s">
        <v>297</v>
      </c>
    </row>
    <row r="17" customFormat="false" ht="27.75" hidden="false" customHeight="true" outlineLevel="0" collapsed="false">
      <c r="A17" s="7" t="s">
        <v>298</v>
      </c>
      <c r="B17" s="7" t="s">
        <v>72</v>
      </c>
      <c r="C17" s="7" t="s">
        <v>73</v>
      </c>
      <c r="D17" s="7" t="s">
        <v>299</v>
      </c>
      <c r="E17" s="7" t="s">
        <v>300</v>
      </c>
      <c r="F17" s="7" t="s">
        <v>285</v>
      </c>
      <c r="G17" s="7"/>
      <c r="H17" s="7" t="n">
        <v>2</v>
      </c>
      <c r="I17" s="7" t="s">
        <v>78</v>
      </c>
      <c r="J17" s="7" t="s">
        <v>301</v>
      </c>
    </row>
    <row r="18" customFormat="false" ht="27.75" hidden="false" customHeight="true" outlineLevel="0" collapsed="false">
      <c r="A18" s="7" t="s">
        <v>302</v>
      </c>
      <c r="B18" s="7" t="s">
        <v>80</v>
      </c>
      <c r="C18" s="7" t="s">
        <v>81</v>
      </c>
      <c r="D18" s="7" t="s">
        <v>303</v>
      </c>
      <c r="E18" s="7" t="s">
        <v>304</v>
      </c>
      <c r="F18" s="7" t="s">
        <v>285</v>
      </c>
      <c r="G18" s="7" t="s">
        <v>305</v>
      </c>
      <c r="H18" s="7" t="n">
        <v>1</v>
      </c>
      <c r="I18" s="7" t="s">
        <v>78</v>
      </c>
      <c r="J18" s="7" t="s">
        <v>306</v>
      </c>
    </row>
    <row r="19" customFormat="false" ht="27.75" hidden="false" customHeight="true" outlineLevel="0" collapsed="false">
      <c r="A19" s="7" t="s">
        <v>307</v>
      </c>
      <c r="B19" s="7" t="s">
        <v>80</v>
      </c>
      <c r="C19" s="7" t="s">
        <v>81</v>
      </c>
      <c r="D19" s="7" t="s">
        <v>308</v>
      </c>
      <c r="E19" s="7" t="s">
        <v>309</v>
      </c>
      <c r="F19" s="7" t="s">
        <v>285</v>
      </c>
      <c r="G19" s="7"/>
      <c r="H19" s="7" t="n">
        <v>1</v>
      </c>
      <c r="I19" s="7" t="s">
        <v>78</v>
      </c>
      <c r="J19" s="7" t="s">
        <v>310</v>
      </c>
    </row>
    <row r="20" customFormat="false" ht="27.75" hidden="false" customHeight="true" outlineLevel="0" collapsed="false">
      <c r="A20" s="7" t="s">
        <v>311</v>
      </c>
      <c r="B20" s="7" t="s">
        <v>80</v>
      </c>
      <c r="C20" s="7" t="s">
        <v>81</v>
      </c>
      <c r="D20" s="7" t="s">
        <v>312</v>
      </c>
      <c r="E20" s="7" t="s">
        <v>313</v>
      </c>
      <c r="F20" s="7" t="s">
        <v>285</v>
      </c>
      <c r="G20" s="7" t="s">
        <v>314</v>
      </c>
      <c r="H20" s="7" t="n">
        <v>1</v>
      </c>
      <c r="I20" s="7" t="s">
        <v>78</v>
      </c>
      <c r="J20" s="7" t="s">
        <v>315</v>
      </c>
    </row>
    <row r="21" customFormat="false" ht="27.75" hidden="false" customHeight="true" outlineLevel="0" collapsed="false">
      <c r="A21" s="7" t="s">
        <v>316</v>
      </c>
      <c r="B21" s="7" t="s">
        <v>80</v>
      </c>
      <c r="C21" s="7" t="s">
        <v>81</v>
      </c>
      <c r="D21" s="7" t="s">
        <v>317</v>
      </c>
      <c r="E21" s="7" t="s">
        <v>318</v>
      </c>
      <c r="F21" s="7" t="s">
        <v>285</v>
      </c>
      <c r="G21" s="7"/>
      <c r="H21" s="7" t="n">
        <v>2</v>
      </c>
      <c r="I21" s="7" t="s">
        <v>78</v>
      </c>
      <c r="J21" s="7" t="s">
        <v>319</v>
      </c>
    </row>
    <row r="22" customFormat="false" ht="27.75" hidden="false" customHeight="true" outlineLevel="0" collapsed="false">
      <c r="A22" s="7" t="s">
        <v>320</v>
      </c>
      <c r="B22" s="7" t="s">
        <v>80</v>
      </c>
      <c r="C22" s="7" t="s">
        <v>81</v>
      </c>
      <c r="D22" s="7" t="s">
        <v>321</v>
      </c>
      <c r="E22" s="7" t="s">
        <v>322</v>
      </c>
      <c r="F22" s="7" t="s">
        <v>285</v>
      </c>
      <c r="G22" s="7" t="s">
        <v>323</v>
      </c>
      <c r="H22" s="7" t="n">
        <v>2</v>
      </c>
      <c r="I22" s="7" t="s">
        <v>78</v>
      </c>
      <c r="J22" s="7" t="s">
        <v>324</v>
      </c>
    </row>
    <row r="23" customFormat="false" ht="27.75" hidden="false" customHeight="true" outlineLevel="0" collapsed="false">
      <c r="A23" s="7" t="s">
        <v>325</v>
      </c>
      <c r="B23" s="7" t="s">
        <v>80</v>
      </c>
      <c r="C23" s="7" t="s">
        <v>81</v>
      </c>
      <c r="D23" s="7" t="s">
        <v>326</v>
      </c>
      <c r="E23" s="7" t="s">
        <v>327</v>
      </c>
      <c r="F23" s="7" t="s">
        <v>285</v>
      </c>
      <c r="G23" s="7" t="s">
        <v>328</v>
      </c>
      <c r="H23" s="7" t="n">
        <v>2</v>
      </c>
      <c r="I23" s="7" t="s">
        <v>78</v>
      </c>
      <c r="J23" s="7" t="s">
        <v>329</v>
      </c>
    </row>
    <row r="24" customFormat="false" ht="27.75" hidden="false" customHeight="true" outlineLevel="0" collapsed="false">
      <c r="A24" s="7" t="s">
        <v>330</v>
      </c>
      <c r="B24" s="7" t="s">
        <v>80</v>
      </c>
      <c r="C24" s="7" t="s">
        <v>81</v>
      </c>
      <c r="D24" s="7" t="s">
        <v>331</v>
      </c>
      <c r="E24" s="7" t="s">
        <v>332</v>
      </c>
      <c r="F24" s="7" t="s">
        <v>285</v>
      </c>
      <c r="G24" s="7" t="s">
        <v>333</v>
      </c>
      <c r="H24" s="7" t="n">
        <v>2</v>
      </c>
      <c r="I24" s="7" t="s">
        <v>78</v>
      </c>
      <c r="J24" s="7" t="s">
        <v>334</v>
      </c>
    </row>
    <row r="25" customFormat="false" ht="27.75" hidden="false" customHeight="true" outlineLevel="0" collapsed="false">
      <c r="A25" s="7" t="s">
        <v>335</v>
      </c>
      <c r="B25" s="7" t="s">
        <v>80</v>
      </c>
      <c r="C25" s="7" t="s">
        <v>81</v>
      </c>
      <c r="D25" s="7" t="s">
        <v>336</v>
      </c>
      <c r="E25" s="7" t="s">
        <v>337</v>
      </c>
      <c r="F25" s="7" t="s">
        <v>285</v>
      </c>
      <c r="G25" s="7"/>
      <c r="H25" s="7" t="n">
        <v>3</v>
      </c>
      <c r="I25" s="7" t="s">
        <v>78</v>
      </c>
      <c r="J25" s="7" t="s">
        <v>338</v>
      </c>
    </row>
    <row r="26" customFormat="false" ht="27.75" hidden="false" customHeight="true" outlineLevel="0" collapsed="false">
      <c r="A26" s="7" t="s">
        <v>339</v>
      </c>
      <c r="B26" s="7" t="s">
        <v>80</v>
      </c>
      <c r="C26" s="7" t="s">
        <v>81</v>
      </c>
      <c r="D26" s="7" t="s">
        <v>340</v>
      </c>
      <c r="E26" s="7" t="s">
        <v>341</v>
      </c>
      <c r="F26" s="7" t="s">
        <v>285</v>
      </c>
      <c r="G26" s="7"/>
      <c r="H26" s="7" t="n">
        <v>3</v>
      </c>
      <c r="I26" s="7" t="s">
        <v>78</v>
      </c>
      <c r="J26" s="7" t="s">
        <v>342</v>
      </c>
    </row>
    <row r="27" customFormat="false" ht="27.75" hidden="false" customHeight="true" outlineLevel="0" collapsed="false">
      <c r="A27" s="7" t="s">
        <v>343</v>
      </c>
      <c r="B27" s="7" t="s">
        <v>87</v>
      </c>
      <c r="C27" s="7" t="s">
        <v>88</v>
      </c>
      <c r="D27" s="7" t="s">
        <v>344</v>
      </c>
      <c r="E27" s="7" t="s">
        <v>345</v>
      </c>
      <c r="F27" s="7" t="s">
        <v>285</v>
      </c>
      <c r="G27" s="7"/>
      <c r="H27" s="7" t="n">
        <v>1</v>
      </c>
      <c r="I27" s="7" t="s">
        <v>78</v>
      </c>
      <c r="J27" s="7" t="s">
        <v>346</v>
      </c>
    </row>
    <row r="28" customFormat="false" ht="27.75" hidden="false" customHeight="true" outlineLevel="0" collapsed="false">
      <c r="A28" s="7" t="s">
        <v>347</v>
      </c>
      <c r="B28" s="7" t="s">
        <v>87</v>
      </c>
      <c r="C28" s="7" t="s">
        <v>88</v>
      </c>
      <c r="D28" s="7" t="s">
        <v>348</v>
      </c>
      <c r="E28" s="7" t="s">
        <v>349</v>
      </c>
      <c r="F28" s="7" t="s">
        <v>285</v>
      </c>
      <c r="G28" s="7"/>
      <c r="H28" s="7" t="n">
        <v>1</v>
      </c>
      <c r="I28" s="7" t="s">
        <v>78</v>
      </c>
      <c r="J28" s="7" t="s">
        <v>350</v>
      </c>
    </row>
    <row r="29" customFormat="false" ht="27.75" hidden="false" customHeight="true" outlineLevel="0" collapsed="false">
      <c r="A29" s="7" t="s">
        <v>351</v>
      </c>
      <c r="B29" s="7" t="s">
        <v>87</v>
      </c>
      <c r="C29" s="7" t="s">
        <v>88</v>
      </c>
      <c r="D29" s="7" t="s">
        <v>352</v>
      </c>
      <c r="E29" s="7" t="s">
        <v>353</v>
      </c>
      <c r="F29" s="7" t="s">
        <v>285</v>
      </c>
      <c r="G29" s="7" t="s">
        <v>354</v>
      </c>
      <c r="H29" s="7" t="n">
        <v>1</v>
      </c>
      <c r="I29" s="7" t="s">
        <v>78</v>
      </c>
      <c r="J29" s="7" t="s">
        <v>355</v>
      </c>
    </row>
    <row r="30" customFormat="false" ht="27.75" hidden="false" customHeight="true" outlineLevel="0" collapsed="false">
      <c r="A30" s="7" t="s">
        <v>356</v>
      </c>
      <c r="B30" s="7" t="s">
        <v>87</v>
      </c>
      <c r="C30" s="7" t="s">
        <v>88</v>
      </c>
      <c r="D30" s="7" t="s">
        <v>357</v>
      </c>
      <c r="E30" s="7" t="s">
        <v>358</v>
      </c>
      <c r="F30" s="7" t="s">
        <v>285</v>
      </c>
      <c r="G30" s="7" t="s">
        <v>359</v>
      </c>
      <c r="H30" s="7" t="n">
        <v>1</v>
      </c>
      <c r="I30" s="7" t="s">
        <v>78</v>
      </c>
      <c r="J30" s="7" t="s">
        <v>360</v>
      </c>
    </row>
    <row r="31" customFormat="false" ht="27.75" hidden="false" customHeight="true" outlineLevel="0" collapsed="false">
      <c r="A31" s="7" t="s">
        <v>361</v>
      </c>
      <c r="B31" s="7" t="s">
        <v>87</v>
      </c>
      <c r="C31" s="7" t="s">
        <v>88</v>
      </c>
      <c r="D31" s="7" t="s">
        <v>362</v>
      </c>
      <c r="E31" s="7" t="s">
        <v>363</v>
      </c>
      <c r="F31" s="7" t="s">
        <v>285</v>
      </c>
      <c r="G31" s="7"/>
      <c r="H31" s="7" t="n">
        <v>2</v>
      </c>
      <c r="I31" s="7" t="s">
        <v>78</v>
      </c>
      <c r="J31" s="7" t="s">
        <v>364</v>
      </c>
    </row>
    <row r="32" customFormat="false" ht="27.75" hidden="false" customHeight="true" outlineLevel="0" collapsed="false">
      <c r="A32" s="7" t="s">
        <v>365</v>
      </c>
      <c r="B32" s="7" t="s">
        <v>87</v>
      </c>
      <c r="C32" s="7" t="s">
        <v>88</v>
      </c>
      <c r="D32" s="7" t="s">
        <v>366</v>
      </c>
      <c r="E32" s="7" t="s">
        <v>367</v>
      </c>
      <c r="F32" s="7" t="s">
        <v>285</v>
      </c>
      <c r="G32" s="7" t="s">
        <v>368</v>
      </c>
      <c r="H32" s="7" t="n">
        <v>2</v>
      </c>
      <c r="I32" s="7" t="s">
        <v>78</v>
      </c>
      <c r="J32" s="7" t="s">
        <v>369</v>
      </c>
    </row>
    <row r="33" customFormat="false" ht="27.75" hidden="false" customHeight="true" outlineLevel="0" collapsed="false">
      <c r="A33" s="7" t="s">
        <v>370</v>
      </c>
      <c r="B33" s="7" t="s">
        <v>87</v>
      </c>
      <c r="C33" s="7" t="s">
        <v>88</v>
      </c>
      <c r="D33" s="7" t="s">
        <v>371</v>
      </c>
      <c r="E33" s="7" t="s">
        <v>372</v>
      </c>
      <c r="F33" s="7" t="s">
        <v>285</v>
      </c>
      <c r="G33" s="7"/>
      <c r="H33" s="7" t="n">
        <v>2</v>
      </c>
      <c r="I33" s="7" t="s">
        <v>78</v>
      </c>
      <c r="J33" s="7" t="s">
        <v>373</v>
      </c>
    </row>
    <row r="34" customFormat="false" ht="27.75" hidden="false" customHeight="true" outlineLevel="0" collapsed="false">
      <c r="A34" s="7" t="s">
        <v>374</v>
      </c>
      <c r="B34" s="7" t="s">
        <v>87</v>
      </c>
      <c r="C34" s="7" t="s">
        <v>88</v>
      </c>
      <c r="D34" s="7" t="s">
        <v>375</v>
      </c>
      <c r="E34" s="7" t="s">
        <v>376</v>
      </c>
      <c r="F34" s="7" t="s">
        <v>285</v>
      </c>
      <c r="G34" s="7" t="s">
        <v>377</v>
      </c>
      <c r="H34" s="7" t="n">
        <v>2</v>
      </c>
      <c r="I34" s="7" t="s">
        <v>78</v>
      </c>
      <c r="J34" s="7" t="s">
        <v>378</v>
      </c>
    </row>
    <row r="35" customFormat="false" ht="27.75" hidden="false" customHeight="true" outlineLevel="0" collapsed="false">
      <c r="A35" s="7" t="s">
        <v>379</v>
      </c>
      <c r="B35" s="7" t="s">
        <v>87</v>
      </c>
      <c r="C35" s="7" t="s">
        <v>88</v>
      </c>
      <c r="D35" s="7" t="s">
        <v>380</v>
      </c>
      <c r="E35" s="7" t="s">
        <v>381</v>
      </c>
      <c r="F35" s="7" t="s">
        <v>285</v>
      </c>
      <c r="G35" s="7"/>
      <c r="H35" s="7" t="n">
        <v>2</v>
      </c>
      <c r="I35" s="7" t="s">
        <v>78</v>
      </c>
      <c r="J35" s="7" t="s">
        <v>382</v>
      </c>
    </row>
    <row r="36" customFormat="false" ht="27.75" hidden="false" customHeight="true" outlineLevel="0" collapsed="false">
      <c r="A36" s="7" t="s">
        <v>383</v>
      </c>
      <c r="B36" s="7" t="s">
        <v>87</v>
      </c>
      <c r="C36" s="7" t="s">
        <v>88</v>
      </c>
      <c r="D36" s="7" t="s">
        <v>384</v>
      </c>
      <c r="E36" s="7" t="s">
        <v>385</v>
      </c>
      <c r="F36" s="7" t="s">
        <v>285</v>
      </c>
      <c r="G36" s="7" t="s">
        <v>386</v>
      </c>
      <c r="H36" s="7" t="n">
        <v>2</v>
      </c>
      <c r="I36" s="7" t="s">
        <v>78</v>
      </c>
      <c r="J36" s="7" t="s">
        <v>387</v>
      </c>
    </row>
    <row r="37" customFormat="false" ht="27.75" hidden="false" customHeight="true" outlineLevel="0" collapsed="false">
      <c r="A37" s="7" t="s">
        <v>388</v>
      </c>
      <c r="B37" s="7" t="s">
        <v>87</v>
      </c>
      <c r="C37" s="7" t="s">
        <v>88</v>
      </c>
      <c r="D37" s="7" t="s">
        <v>389</v>
      </c>
      <c r="E37" s="7" t="s">
        <v>390</v>
      </c>
      <c r="F37" s="7" t="s">
        <v>285</v>
      </c>
      <c r="G37" s="7" t="s">
        <v>391</v>
      </c>
      <c r="H37" s="7" t="n">
        <v>2</v>
      </c>
      <c r="I37" s="7" t="s">
        <v>78</v>
      </c>
      <c r="J37" s="7" t="s">
        <v>392</v>
      </c>
    </row>
    <row r="38" customFormat="false" ht="27.75" hidden="false" customHeight="true" outlineLevel="0" collapsed="false">
      <c r="A38" s="7" t="s">
        <v>393</v>
      </c>
      <c r="B38" s="7" t="s">
        <v>87</v>
      </c>
      <c r="C38" s="7" t="s">
        <v>88</v>
      </c>
      <c r="D38" s="7" t="s">
        <v>394</v>
      </c>
      <c r="E38" s="7" t="s">
        <v>395</v>
      </c>
      <c r="F38" s="7" t="s">
        <v>285</v>
      </c>
      <c r="G38" s="7"/>
      <c r="H38" s="7" t="n">
        <v>3</v>
      </c>
      <c r="I38" s="7" t="s">
        <v>78</v>
      </c>
      <c r="J38" s="7" t="s">
        <v>396</v>
      </c>
    </row>
    <row r="39" customFormat="false" ht="27.75" hidden="false" customHeight="true" outlineLevel="0" collapsed="false">
      <c r="A39" s="7" t="s">
        <v>397</v>
      </c>
      <c r="B39" s="7" t="s">
        <v>87</v>
      </c>
      <c r="C39" s="7" t="s">
        <v>88</v>
      </c>
      <c r="D39" s="7" t="s">
        <v>398</v>
      </c>
      <c r="E39" s="7" t="s">
        <v>399</v>
      </c>
      <c r="F39" s="7" t="s">
        <v>285</v>
      </c>
      <c r="G39" s="7" t="s">
        <v>400</v>
      </c>
      <c r="H39" s="7" t="n">
        <v>3</v>
      </c>
      <c r="I39" s="7" t="s">
        <v>78</v>
      </c>
      <c r="J39" s="7" t="s">
        <v>401</v>
      </c>
    </row>
    <row r="40" customFormat="false" ht="27.75" hidden="false" customHeight="true" outlineLevel="0" collapsed="false">
      <c r="A40" s="7" t="s">
        <v>402</v>
      </c>
      <c r="B40" s="7" t="s">
        <v>94</v>
      </c>
      <c r="C40" s="7" t="s">
        <v>95</v>
      </c>
      <c r="D40" s="7" t="s">
        <v>403</v>
      </c>
      <c r="E40" s="7" t="s">
        <v>404</v>
      </c>
      <c r="F40" s="7" t="s">
        <v>285</v>
      </c>
      <c r="G40" s="7" t="s">
        <v>405</v>
      </c>
      <c r="H40" s="7" t="n">
        <v>1</v>
      </c>
      <c r="I40" s="7" t="s">
        <v>78</v>
      </c>
      <c r="J40" s="7" t="s">
        <v>406</v>
      </c>
    </row>
    <row r="41" customFormat="false" ht="27.75" hidden="false" customHeight="true" outlineLevel="0" collapsed="false">
      <c r="A41" s="7" t="s">
        <v>407</v>
      </c>
      <c r="B41" s="7" t="s">
        <v>94</v>
      </c>
      <c r="C41" s="7" t="s">
        <v>95</v>
      </c>
      <c r="D41" s="7" t="s">
        <v>408</v>
      </c>
      <c r="E41" s="7" t="s">
        <v>409</v>
      </c>
      <c r="F41" s="7" t="s">
        <v>285</v>
      </c>
      <c r="G41" s="7" t="s">
        <v>410</v>
      </c>
      <c r="H41" s="7" t="n">
        <v>1</v>
      </c>
      <c r="I41" s="7" t="s">
        <v>78</v>
      </c>
      <c r="J41" s="7" t="s">
        <v>411</v>
      </c>
    </row>
    <row r="42" customFormat="false" ht="27.75" hidden="false" customHeight="true" outlineLevel="0" collapsed="false">
      <c r="A42" s="7" t="s">
        <v>412</v>
      </c>
      <c r="B42" s="7" t="s">
        <v>94</v>
      </c>
      <c r="C42" s="7" t="s">
        <v>95</v>
      </c>
      <c r="D42" s="7" t="s">
        <v>413</v>
      </c>
      <c r="E42" s="7" t="s">
        <v>414</v>
      </c>
      <c r="F42" s="7" t="s">
        <v>285</v>
      </c>
      <c r="G42" s="7" t="s">
        <v>415</v>
      </c>
      <c r="H42" s="7" t="n">
        <v>1</v>
      </c>
      <c r="I42" s="7" t="s">
        <v>78</v>
      </c>
      <c r="J42" s="7" t="s">
        <v>416</v>
      </c>
    </row>
    <row r="43" customFormat="false" ht="27.75" hidden="false" customHeight="true" outlineLevel="0" collapsed="false">
      <c r="A43" s="7" t="s">
        <v>417</v>
      </c>
      <c r="B43" s="7" t="s">
        <v>94</v>
      </c>
      <c r="C43" s="7" t="s">
        <v>95</v>
      </c>
      <c r="D43" s="7" t="s">
        <v>418</v>
      </c>
      <c r="E43" s="7" t="s">
        <v>419</v>
      </c>
      <c r="F43" s="7" t="s">
        <v>285</v>
      </c>
      <c r="G43" s="7" t="s">
        <v>420</v>
      </c>
      <c r="H43" s="7" t="n">
        <v>2</v>
      </c>
      <c r="I43" s="7" t="s">
        <v>78</v>
      </c>
      <c r="J43" s="7" t="s">
        <v>421</v>
      </c>
    </row>
    <row r="44" customFormat="false" ht="27.75" hidden="false" customHeight="true" outlineLevel="0" collapsed="false">
      <c r="A44" s="7" t="s">
        <v>422</v>
      </c>
      <c r="B44" s="7" t="s">
        <v>94</v>
      </c>
      <c r="C44" s="7" t="s">
        <v>95</v>
      </c>
      <c r="D44" s="7" t="s">
        <v>423</v>
      </c>
      <c r="E44" s="7" t="s">
        <v>424</v>
      </c>
      <c r="F44" s="7" t="s">
        <v>285</v>
      </c>
      <c r="G44" s="7" t="s">
        <v>425</v>
      </c>
      <c r="H44" s="7" t="n">
        <v>2</v>
      </c>
      <c r="I44" s="7" t="s">
        <v>78</v>
      </c>
      <c r="J44" s="7" t="s">
        <v>426</v>
      </c>
    </row>
    <row r="45" customFormat="false" ht="27.75" hidden="false" customHeight="true" outlineLevel="0" collapsed="false">
      <c r="A45" s="7" t="s">
        <v>427</v>
      </c>
      <c r="B45" s="7" t="s">
        <v>94</v>
      </c>
      <c r="C45" s="7" t="s">
        <v>95</v>
      </c>
      <c r="D45" s="7" t="s">
        <v>428</v>
      </c>
      <c r="E45" s="7" t="s">
        <v>429</v>
      </c>
      <c r="F45" s="7" t="s">
        <v>285</v>
      </c>
      <c r="G45" s="7"/>
      <c r="H45" s="7" t="n">
        <v>3</v>
      </c>
      <c r="I45" s="7" t="s">
        <v>78</v>
      </c>
      <c r="J45" s="7" t="s">
        <v>430</v>
      </c>
    </row>
    <row r="46" customFormat="false" ht="27.75" hidden="false" customHeight="true" outlineLevel="0" collapsed="false">
      <c r="A46" s="7" t="s">
        <v>431</v>
      </c>
      <c r="B46" s="7" t="s">
        <v>94</v>
      </c>
      <c r="C46" s="7" t="s">
        <v>95</v>
      </c>
      <c r="D46" s="7" t="s">
        <v>432</v>
      </c>
      <c r="E46" s="7" t="s">
        <v>433</v>
      </c>
      <c r="F46" s="7" t="s">
        <v>285</v>
      </c>
      <c r="G46" s="7" t="s">
        <v>434</v>
      </c>
      <c r="H46" s="7" t="n">
        <v>3</v>
      </c>
      <c r="I46" s="7" t="s">
        <v>78</v>
      </c>
      <c r="J46" s="7" t="s">
        <v>401</v>
      </c>
    </row>
    <row r="47" customFormat="false" ht="27.75" hidden="false" customHeight="true" outlineLevel="0" collapsed="false">
      <c r="A47" s="7" t="s">
        <v>435</v>
      </c>
      <c r="B47" s="7" t="s">
        <v>99</v>
      </c>
      <c r="C47" s="7" t="s">
        <v>100</v>
      </c>
      <c r="D47" s="7" t="s">
        <v>436</v>
      </c>
      <c r="E47" s="7" t="s">
        <v>437</v>
      </c>
      <c r="F47" s="7" t="s">
        <v>285</v>
      </c>
      <c r="G47" s="7"/>
      <c r="H47" s="7" t="n">
        <v>1</v>
      </c>
      <c r="I47" s="7" t="s">
        <v>78</v>
      </c>
      <c r="J47" s="7" t="s">
        <v>438</v>
      </c>
    </row>
    <row r="48" customFormat="false" ht="27.75" hidden="false" customHeight="true" outlineLevel="0" collapsed="false">
      <c r="A48" s="7" t="s">
        <v>439</v>
      </c>
      <c r="B48" s="7" t="s">
        <v>99</v>
      </c>
      <c r="C48" s="7" t="s">
        <v>100</v>
      </c>
      <c r="D48" s="7" t="s">
        <v>440</v>
      </c>
      <c r="E48" s="7" t="s">
        <v>441</v>
      </c>
      <c r="F48" s="7" t="s">
        <v>285</v>
      </c>
      <c r="G48" s="7"/>
      <c r="H48" s="7" t="n">
        <v>1</v>
      </c>
      <c r="I48" s="7" t="s">
        <v>78</v>
      </c>
      <c r="J48" s="7" t="s">
        <v>442</v>
      </c>
    </row>
    <row r="49" customFormat="false" ht="27.75" hidden="false" customHeight="true" outlineLevel="0" collapsed="false">
      <c r="A49" s="7" t="s">
        <v>443</v>
      </c>
      <c r="B49" s="7" t="s">
        <v>99</v>
      </c>
      <c r="C49" s="7" t="s">
        <v>100</v>
      </c>
      <c r="D49" s="7" t="s">
        <v>444</v>
      </c>
      <c r="E49" s="7" t="s">
        <v>445</v>
      </c>
      <c r="F49" s="7" t="s">
        <v>285</v>
      </c>
      <c r="G49" s="7"/>
      <c r="H49" s="7" t="n">
        <v>1</v>
      </c>
      <c r="I49" s="7" t="s">
        <v>78</v>
      </c>
      <c r="J49" s="7" t="s">
        <v>446</v>
      </c>
    </row>
    <row r="50" customFormat="false" ht="27.75" hidden="false" customHeight="true" outlineLevel="0" collapsed="false">
      <c r="A50" s="7" t="s">
        <v>447</v>
      </c>
      <c r="B50" s="7" t="s">
        <v>99</v>
      </c>
      <c r="C50" s="7" t="s">
        <v>100</v>
      </c>
      <c r="D50" s="7" t="s">
        <v>448</v>
      </c>
      <c r="E50" s="7" t="s">
        <v>449</v>
      </c>
      <c r="F50" s="7" t="s">
        <v>285</v>
      </c>
      <c r="G50" s="7"/>
      <c r="H50" s="7" t="n">
        <v>1</v>
      </c>
      <c r="I50" s="7" t="s">
        <v>78</v>
      </c>
      <c r="J50" s="7" t="s">
        <v>450</v>
      </c>
    </row>
    <row r="51" customFormat="false" ht="27.75" hidden="false" customHeight="true" outlineLevel="0" collapsed="false">
      <c r="A51" s="7" t="s">
        <v>451</v>
      </c>
      <c r="B51" s="7" t="s">
        <v>99</v>
      </c>
      <c r="C51" s="7" t="s">
        <v>100</v>
      </c>
      <c r="D51" s="7" t="s">
        <v>452</v>
      </c>
      <c r="E51" s="7" t="s">
        <v>453</v>
      </c>
      <c r="F51" s="7" t="s">
        <v>285</v>
      </c>
      <c r="G51" s="7"/>
      <c r="H51" s="7" t="n">
        <v>1</v>
      </c>
      <c r="I51" s="7" t="s">
        <v>78</v>
      </c>
      <c r="J51" s="7" t="s">
        <v>454</v>
      </c>
    </row>
    <row r="52" customFormat="false" ht="27.75" hidden="false" customHeight="true" outlineLevel="0" collapsed="false">
      <c r="A52" s="7" t="s">
        <v>455</v>
      </c>
      <c r="B52" s="7" t="s">
        <v>99</v>
      </c>
      <c r="C52" s="7" t="s">
        <v>100</v>
      </c>
      <c r="D52" s="7" t="s">
        <v>456</v>
      </c>
      <c r="E52" s="7" t="s">
        <v>457</v>
      </c>
      <c r="F52" s="7" t="s">
        <v>285</v>
      </c>
      <c r="G52" s="7"/>
      <c r="H52" s="7" t="n">
        <v>2</v>
      </c>
      <c r="I52" s="7" t="s">
        <v>78</v>
      </c>
      <c r="J52" s="7" t="s">
        <v>458</v>
      </c>
    </row>
    <row r="53" customFormat="false" ht="27.75" hidden="false" customHeight="true" outlineLevel="0" collapsed="false">
      <c r="A53" s="7" t="s">
        <v>459</v>
      </c>
      <c r="B53" s="7" t="s">
        <v>99</v>
      </c>
      <c r="C53" s="7" t="s">
        <v>100</v>
      </c>
      <c r="D53" s="7" t="s">
        <v>460</v>
      </c>
      <c r="E53" s="7" t="s">
        <v>461</v>
      </c>
      <c r="F53" s="7" t="s">
        <v>285</v>
      </c>
      <c r="G53" s="7"/>
      <c r="H53" s="7" t="n">
        <v>2</v>
      </c>
      <c r="I53" s="7" t="s">
        <v>78</v>
      </c>
      <c r="J53" s="7" t="s">
        <v>462</v>
      </c>
    </row>
    <row r="54" customFormat="false" ht="27.75" hidden="false" customHeight="true" outlineLevel="0" collapsed="false">
      <c r="A54" s="7" t="s">
        <v>463</v>
      </c>
      <c r="B54" s="7" t="s">
        <v>99</v>
      </c>
      <c r="C54" s="7" t="s">
        <v>100</v>
      </c>
      <c r="D54" s="7" t="s">
        <v>464</v>
      </c>
      <c r="E54" s="7" t="s">
        <v>465</v>
      </c>
      <c r="F54" s="7" t="s">
        <v>285</v>
      </c>
      <c r="G54" s="7"/>
      <c r="H54" s="7" t="n">
        <v>2</v>
      </c>
      <c r="I54" s="7" t="s">
        <v>78</v>
      </c>
      <c r="J54" s="7" t="s">
        <v>466</v>
      </c>
    </row>
    <row r="55" customFormat="false" ht="27.75" hidden="false" customHeight="true" outlineLevel="0" collapsed="false">
      <c r="A55" s="7" t="s">
        <v>467</v>
      </c>
      <c r="B55" s="7" t="s">
        <v>99</v>
      </c>
      <c r="C55" s="7" t="s">
        <v>100</v>
      </c>
      <c r="D55" s="7" t="s">
        <v>468</v>
      </c>
      <c r="E55" s="7" t="s">
        <v>469</v>
      </c>
      <c r="F55" s="7" t="s">
        <v>285</v>
      </c>
      <c r="G55" s="7"/>
      <c r="H55" s="7" t="n">
        <v>2</v>
      </c>
      <c r="I55" s="7" t="s">
        <v>78</v>
      </c>
      <c r="J55" s="7" t="s">
        <v>470</v>
      </c>
    </row>
    <row r="56" customFormat="false" ht="27.75" hidden="false" customHeight="true" outlineLevel="0" collapsed="false">
      <c r="A56" s="7" t="s">
        <v>471</v>
      </c>
      <c r="B56" s="7" t="s">
        <v>99</v>
      </c>
      <c r="C56" s="7" t="s">
        <v>100</v>
      </c>
      <c r="D56" s="7" t="s">
        <v>472</v>
      </c>
      <c r="E56" s="7" t="s">
        <v>473</v>
      </c>
      <c r="F56" s="7" t="s">
        <v>285</v>
      </c>
      <c r="G56" s="7"/>
      <c r="H56" s="7" t="n">
        <v>2</v>
      </c>
      <c r="I56" s="7" t="s">
        <v>78</v>
      </c>
      <c r="J56" s="7" t="s">
        <v>474</v>
      </c>
    </row>
    <row r="57" customFormat="false" ht="27.75" hidden="false" customHeight="true" outlineLevel="0" collapsed="false">
      <c r="A57" s="7" t="s">
        <v>475</v>
      </c>
      <c r="B57" s="7" t="s">
        <v>99</v>
      </c>
      <c r="C57" s="7" t="s">
        <v>100</v>
      </c>
      <c r="D57" s="7" t="s">
        <v>476</v>
      </c>
      <c r="E57" s="7" t="s">
        <v>477</v>
      </c>
      <c r="F57" s="7" t="s">
        <v>285</v>
      </c>
      <c r="G57" s="7"/>
      <c r="H57" s="7" t="n">
        <v>2</v>
      </c>
      <c r="I57" s="7" t="s">
        <v>78</v>
      </c>
      <c r="J57" s="7" t="s">
        <v>478</v>
      </c>
    </row>
    <row r="58" customFormat="false" ht="27.75" hidden="false" customHeight="true" outlineLevel="0" collapsed="false">
      <c r="A58" s="7" t="s">
        <v>479</v>
      </c>
      <c r="B58" s="7" t="s">
        <v>99</v>
      </c>
      <c r="C58" s="7" t="s">
        <v>100</v>
      </c>
      <c r="D58" s="7" t="s">
        <v>480</v>
      </c>
      <c r="E58" s="7" t="s">
        <v>481</v>
      </c>
      <c r="F58" s="7" t="s">
        <v>285</v>
      </c>
      <c r="G58" s="7"/>
      <c r="H58" s="7" t="n">
        <v>2</v>
      </c>
      <c r="I58" s="7" t="s">
        <v>78</v>
      </c>
      <c r="J58" s="7" t="s">
        <v>482</v>
      </c>
    </row>
    <row r="59" customFormat="false" ht="27.75" hidden="false" customHeight="true" outlineLevel="0" collapsed="false">
      <c r="A59" s="7" t="s">
        <v>483</v>
      </c>
      <c r="B59" s="7" t="s">
        <v>99</v>
      </c>
      <c r="C59" s="7" t="s">
        <v>100</v>
      </c>
      <c r="D59" s="7" t="s">
        <v>484</v>
      </c>
      <c r="E59" s="7" t="s">
        <v>485</v>
      </c>
      <c r="F59" s="7" t="s">
        <v>285</v>
      </c>
      <c r="G59" s="7"/>
      <c r="H59" s="7" t="n">
        <v>2</v>
      </c>
      <c r="I59" s="7" t="s">
        <v>78</v>
      </c>
      <c r="J59" s="7" t="s">
        <v>486</v>
      </c>
    </row>
    <row r="60" customFormat="false" ht="27.75" hidden="false" customHeight="true" outlineLevel="0" collapsed="false">
      <c r="A60" s="7" t="s">
        <v>487</v>
      </c>
      <c r="B60" s="7" t="s">
        <v>99</v>
      </c>
      <c r="C60" s="7" t="s">
        <v>100</v>
      </c>
      <c r="D60" s="7" t="s">
        <v>488</v>
      </c>
      <c r="E60" s="7" t="s">
        <v>489</v>
      </c>
      <c r="F60" s="7" t="s">
        <v>285</v>
      </c>
      <c r="G60" s="7"/>
      <c r="H60" s="7" t="n">
        <v>3</v>
      </c>
      <c r="I60" s="7" t="s">
        <v>78</v>
      </c>
      <c r="J60" s="7" t="s">
        <v>490</v>
      </c>
    </row>
    <row r="61" customFormat="false" ht="27.75" hidden="false" customHeight="true" outlineLevel="0" collapsed="false">
      <c r="A61" s="7" t="s">
        <v>491</v>
      </c>
      <c r="B61" s="7" t="s">
        <v>99</v>
      </c>
      <c r="C61" s="7" t="s">
        <v>100</v>
      </c>
      <c r="D61" s="7" t="s">
        <v>492</v>
      </c>
      <c r="E61" s="7" t="s">
        <v>493</v>
      </c>
      <c r="F61" s="7" t="s">
        <v>285</v>
      </c>
      <c r="G61" s="7"/>
      <c r="H61" s="7" t="n">
        <v>3</v>
      </c>
      <c r="I61" s="7" t="s">
        <v>78</v>
      </c>
      <c r="J61" s="7" t="s">
        <v>494</v>
      </c>
    </row>
    <row r="62" customFormat="false" ht="27.75" hidden="false" customHeight="true" outlineLevel="0" collapsed="false">
      <c r="A62" s="7" t="s">
        <v>495</v>
      </c>
      <c r="B62" s="7" t="s">
        <v>99</v>
      </c>
      <c r="C62" s="7" t="s">
        <v>100</v>
      </c>
      <c r="D62" s="7" t="s">
        <v>496</v>
      </c>
      <c r="E62" s="7" t="s">
        <v>497</v>
      </c>
      <c r="F62" s="7" t="s">
        <v>285</v>
      </c>
      <c r="G62" s="7"/>
      <c r="H62" s="7" t="n">
        <v>3</v>
      </c>
      <c r="I62" s="7" t="s">
        <v>78</v>
      </c>
      <c r="J62" s="7" t="s">
        <v>498</v>
      </c>
    </row>
    <row r="63" customFormat="false" ht="27.75" hidden="false" customHeight="true" outlineLevel="0" collapsed="false">
      <c r="A63" s="7" t="s">
        <v>499</v>
      </c>
      <c r="B63" s="7" t="s">
        <v>105</v>
      </c>
      <c r="C63" s="7" t="s">
        <v>106</v>
      </c>
      <c r="D63" s="7" t="s">
        <v>500</v>
      </c>
      <c r="E63" s="7" t="s">
        <v>501</v>
      </c>
      <c r="F63" s="7" t="s">
        <v>285</v>
      </c>
      <c r="G63" s="7" t="s">
        <v>502</v>
      </c>
      <c r="H63" s="7" t="n">
        <v>1</v>
      </c>
      <c r="I63" s="7" t="s">
        <v>78</v>
      </c>
      <c r="J63" s="7" t="s">
        <v>503</v>
      </c>
    </row>
    <row r="64" customFormat="false" ht="27.75" hidden="false" customHeight="true" outlineLevel="0" collapsed="false">
      <c r="A64" s="7" t="s">
        <v>504</v>
      </c>
      <c r="B64" s="7" t="s">
        <v>105</v>
      </c>
      <c r="C64" s="7" t="s">
        <v>106</v>
      </c>
      <c r="D64" s="7" t="s">
        <v>505</v>
      </c>
      <c r="E64" s="7" t="s">
        <v>506</v>
      </c>
      <c r="F64" s="7" t="s">
        <v>285</v>
      </c>
      <c r="G64" s="7" t="s">
        <v>507</v>
      </c>
      <c r="H64" s="7" t="n">
        <v>1</v>
      </c>
      <c r="I64" s="7" t="s">
        <v>78</v>
      </c>
      <c r="J64" s="7" t="s">
        <v>508</v>
      </c>
    </row>
    <row r="65" customFormat="false" ht="27.75" hidden="false" customHeight="true" outlineLevel="0" collapsed="false">
      <c r="A65" s="7" t="s">
        <v>509</v>
      </c>
      <c r="B65" s="7" t="s">
        <v>105</v>
      </c>
      <c r="C65" s="7" t="s">
        <v>106</v>
      </c>
      <c r="D65" s="7" t="s">
        <v>510</v>
      </c>
      <c r="E65" s="7" t="s">
        <v>511</v>
      </c>
      <c r="F65" s="7" t="s">
        <v>285</v>
      </c>
      <c r="G65" s="7" t="s">
        <v>512</v>
      </c>
      <c r="H65" s="7" t="n">
        <v>1</v>
      </c>
      <c r="I65" s="7" t="s">
        <v>78</v>
      </c>
      <c r="J65" s="7" t="s">
        <v>513</v>
      </c>
    </row>
    <row r="66" customFormat="false" ht="27.75" hidden="false" customHeight="true" outlineLevel="0" collapsed="false">
      <c r="A66" s="7" t="s">
        <v>514</v>
      </c>
      <c r="B66" s="7" t="s">
        <v>105</v>
      </c>
      <c r="C66" s="7" t="s">
        <v>106</v>
      </c>
      <c r="D66" s="7" t="s">
        <v>515</v>
      </c>
      <c r="E66" s="7" t="s">
        <v>516</v>
      </c>
      <c r="F66" s="7" t="s">
        <v>285</v>
      </c>
      <c r="G66" s="7"/>
      <c r="H66" s="7" t="n">
        <v>2</v>
      </c>
      <c r="I66" s="7" t="s">
        <v>78</v>
      </c>
      <c r="J66" s="7" t="s">
        <v>517</v>
      </c>
    </row>
    <row r="67" customFormat="false" ht="27.75" hidden="false" customHeight="true" outlineLevel="0" collapsed="false">
      <c r="A67" s="7" t="s">
        <v>518</v>
      </c>
      <c r="B67" s="7" t="s">
        <v>105</v>
      </c>
      <c r="C67" s="7" t="s">
        <v>106</v>
      </c>
      <c r="D67" s="7" t="s">
        <v>519</v>
      </c>
      <c r="E67" s="7" t="s">
        <v>520</v>
      </c>
      <c r="F67" s="7" t="s">
        <v>285</v>
      </c>
      <c r="G67" s="7"/>
      <c r="H67" s="7" t="n">
        <v>2</v>
      </c>
      <c r="I67" s="7" t="s">
        <v>78</v>
      </c>
      <c r="J67" s="7" t="s">
        <v>521</v>
      </c>
    </row>
    <row r="68" customFormat="false" ht="27.75" hidden="false" customHeight="true" outlineLevel="0" collapsed="false">
      <c r="A68" s="7" t="s">
        <v>522</v>
      </c>
      <c r="B68" s="7" t="s">
        <v>105</v>
      </c>
      <c r="C68" s="7" t="s">
        <v>106</v>
      </c>
      <c r="D68" s="7" t="s">
        <v>523</v>
      </c>
      <c r="E68" s="7" t="s">
        <v>524</v>
      </c>
      <c r="F68" s="7" t="s">
        <v>285</v>
      </c>
      <c r="G68" s="7" t="s">
        <v>525</v>
      </c>
      <c r="H68" s="7" t="n">
        <v>2</v>
      </c>
      <c r="I68" s="7" t="s">
        <v>78</v>
      </c>
      <c r="J68" s="7" t="s">
        <v>526</v>
      </c>
    </row>
    <row r="69" customFormat="false" ht="27.75" hidden="false" customHeight="true" outlineLevel="0" collapsed="false">
      <c r="A69" s="7" t="s">
        <v>527</v>
      </c>
      <c r="B69" s="7" t="s">
        <v>105</v>
      </c>
      <c r="C69" s="7" t="s">
        <v>106</v>
      </c>
      <c r="D69" s="7" t="s">
        <v>528</v>
      </c>
      <c r="E69" s="7" t="s">
        <v>529</v>
      </c>
      <c r="F69" s="7" t="s">
        <v>285</v>
      </c>
      <c r="G69" s="7" t="s">
        <v>530</v>
      </c>
      <c r="H69" s="7" t="n">
        <v>2</v>
      </c>
      <c r="I69" s="7" t="s">
        <v>78</v>
      </c>
      <c r="J69" s="7" t="s">
        <v>531</v>
      </c>
    </row>
    <row r="70" customFormat="false" ht="27.75" hidden="false" customHeight="true" outlineLevel="0" collapsed="false">
      <c r="A70" s="7" t="s">
        <v>532</v>
      </c>
      <c r="B70" s="7" t="s">
        <v>105</v>
      </c>
      <c r="C70" s="7" t="s">
        <v>106</v>
      </c>
      <c r="D70" s="7" t="s">
        <v>533</v>
      </c>
      <c r="E70" s="7" t="s">
        <v>534</v>
      </c>
      <c r="F70" s="7" t="s">
        <v>285</v>
      </c>
      <c r="G70" s="7" t="s">
        <v>535</v>
      </c>
      <c r="H70" s="7" t="n">
        <v>2</v>
      </c>
      <c r="I70" s="7" t="s">
        <v>78</v>
      </c>
      <c r="J70" s="7" t="s">
        <v>536</v>
      </c>
    </row>
    <row r="71" customFormat="false" ht="27.75" hidden="false" customHeight="true" outlineLevel="0" collapsed="false">
      <c r="A71" s="7" t="s">
        <v>537</v>
      </c>
      <c r="B71" s="7" t="s">
        <v>105</v>
      </c>
      <c r="C71" s="7" t="s">
        <v>106</v>
      </c>
      <c r="D71" s="7" t="s">
        <v>538</v>
      </c>
      <c r="E71" s="7" t="s">
        <v>539</v>
      </c>
      <c r="F71" s="7" t="s">
        <v>285</v>
      </c>
      <c r="G71" s="7" t="s">
        <v>540</v>
      </c>
      <c r="H71" s="7" t="n">
        <v>3</v>
      </c>
      <c r="I71" s="7" t="s">
        <v>78</v>
      </c>
      <c r="J71" s="7" t="s">
        <v>541</v>
      </c>
    </row>
    <row r="72" customFormat="false" ht="27.75" hidden="false" customHeight="true" outlineLevel="0" collapsed="false">
      <c r="A72" s="7" t="s">
        <v>542</v>
      </c>
      <c r="B72" s="7" t="s">
        <v>105</v>
      </c>
      <c r="C72" s="7" t="s">
        <v>106</v>
      </c>
      <c r="D72" s="7" t="s">
        <v>543</v>
      </c>
      <c r="E72" s="7" t="s">
        <v>544</v>
      </c>
      <c r="F72" s="7" t="s">
        <v>285</v>
      </c>
      <c r="G72" s="7"/>
      <c r="H72" s="7" t="n">
        <v>3</v>
      </c>
      <c r="I72" s="7" t="s">
        <v>78</v>
      </c>
      <c r="J72" s="7" t="s">
        <v>545</v>
      </c>
    </row>
    <row r="73" customFormat="false" ht="27.75" hidden="false" customHeight="true" outlineLevel="0" collapsed="false">
      <c r="A73" s="7" t="s">
        <v>546</v>
      </c>
      <c r="B73" s="7" t="s">
        <v>105</v>
      </c>
      <c r="C73" s="7" t="s">
        <v>106</v>
      </c>
      <c r="D73" s="7" t="s">
        <v>547</v>
      </c>
      <c r="E73" s="7" t="s">
        <v>548</v>
      </c>
      <c r="F73" s="7" t="s">
        <v>285</v>
      </c>
      <c r="G73" s="7"/>
      <c r="H73" s="7" t="n">
        <v>3</v>
      </c>
      <c r="I73" s="7" t="s">
        <v>78</v>
      </c>
      <c r="J73" s="7" t="s">
        <v>549</v>
      </c>
    </row>
    <row r="74" customFormat="false" ht="27.75" hidden="false" customHeight="true" outlineLevel="0" collapsed="false">
      <c r="A74" s="7" t="s">
        <v>550</v>
      </c>
      <c r="B74" s="7" t="s">
        <v>105</v>
      </c>
      <c r="C74" s="7" t="s">
        <v>106</v>
      </c>
      <c r="D74" s="7" t="s">
        <v>551</v>
      </c>
      <c r="E74" s="7" t="s">
        <v>552</v>
      </c>
      <c r="F74" s="7" t="s">
        <v>285</v>
      </c>
      <c r="G74" s="7"/>
      <c r="H74" s="7" t="n">
        <v>3</v>
      </c>
      <c r="I74" s="7" t="s">
        <v>78</v>
      </c>
      <c r="J74" s="7" t="s">
        <v>553</v>
      </c>
    </row>
    <row r="75" customFormat="false" ht="27.75" hidden="false" customHeight="true" outlineLevel="0" collapsed="false">
      <c r="A75" s="7" t="s">
        <v>554</v>
      </c>
      <c r="B75" s="7" t="s">
        <v>105</v>
      </c>
      <c r="C75" s="7" t="s">
        <v>106</v>
      </c>
      <c r="D75" s="7" t="s">
        <v>555</v>
      </c>
      <c r="E75" s="7" t="s">
        <v>556</v>
      </c>
      <c r="F75" s="7" t="s">
        <v>285</v>
      </c>
      <c r="G75" s="7" t="s">
        <v>557</v>
      </c>
      <c r="H75" s="7" t="n">
        <v>3</v>
      </c>
      <c r="I75" s="7" t="s">
        <v>78</v>
      </c>
      <c r="J75" s="7" t="s">
        <v>558</v>
      </c>
    </row>
    <row r="76" customFormat="false" ht="27.75" hidden="false" customHeight="true" outlineLevel="0" collapsed="false">
      <c r="A76" s="7" t="s">
        <v>559</v>
      </c>
      <c r="B76" s="7" t="s">
        <v>105</v>
      </c>
      <c r="C76" s="7" t="s">
        <v>106</v>
      </c>
      <c r="D76" s="7" t="s">
        <v>560</v>
      </c>
      <c r="E76" s="7" t="s">
        <v>561</v>
      </c>
      <c r="F76" s="7" t="s">
        <v>285</v>
      </c>
      <c r="G76" s="7" t="s">
        <v>562</v>
      </c>
      <c r="H76" s="7" t="n">
        <v>4</v>
      </c>
      <c r="I76" s="7" t="s">
        <v>78</v>
      </c>
      <c r="J76" s="7" t="s">
        <v>563</v>
      </c>
    </row>
    <row r="77" customFormat="false" ht="27.75" hidden="false" customHeight="true" outlineLevel="0" collapsed="false">
      <c r="A77" s="7" t="s">
        <v>564</v>
      </c>
      <c r="B77" s="7" t="s">
        <v>110</v>
      </c>
      <c r="C77" s="7" t="s">
        <v>111</v>
      </c>
      <c r="D77" s="7" t="s">
        <v>565</v>
      </c>
      <c r="E77" s="7" t="s">
        <v>566</v>
      </c>
      <c r="F77" s="7" t="s">
        <v>285</v>
      </c>
      <c r="G77" s="7" t="s">
        <v>567</v>
      </c>
      <c r="H77" s="7" t="n">
        <v>1</v>
      </c>
      <c r="I77" s="7" t="s">
        <v>78</v>
      </c>
      <c r="J77" s="7" t="s">
        <v>568</v>
      </c>
    </row>
    <row r="78" customFormat="false" ht="27.75" hidden="false" customHeight="true" outlineLevel="0" collapsed="false">
      <c r="A78" s="7" t="s">
        <v>569</v>
      </c>
      <c r="B78" s="7" t="s">
        <v>110</v>
      </c>
      <c r="C78" s="7" t="s">
        <v>111</v>
      </c>
      <c r="D78" s="7" t="s">
        <v>570</v>
      </c>
      <c r="E78" s="7" t="s">
        <v>571</v>
      </c>
      <c r="F78" s="7" t="s">
        <v>285</v>
      </c>
      <c r="G78" s="7" t="s">
        <v>572</v>
      </c>
      <c r="H78" s="7" t="n">
        <v>1</v>
      </c>
      <c r="I78" s="7" t="s">
        <v>78</v>
      </c>
      <c r="J78" s="7" t="s">
        <v>573</v>
      </c>
    </row>
    <row r="79" customFormat="false" ht="27.75" hidden="false" customHeight="true" outlineLevel="0" collapsed="false">
      <c r="A79" s="7" t="s">
        <v>574</v>
      </c>
      <c r="B79" s="7" t="s">
        <v>110</v>
      </c>
      <c r="C79" s="7" t="s">
        <v>111</v>
      </c>
      <c r="D79" s="7" t="s">
        <v>575</v>
      </c>
      <c r="E79" s="7" t="s">
        <v>576</v>
      </c>
      <c r="F79" s="7" t="s">
        <v>285</v>
      </c>
      <c r="G79" s="7" t="s">
        <v>577</v>
      </c>
      <c r="H79" s="7" t="n">
        <v>2</v>
      </c>
      <c r="I79" s="7" t="s">
        <v>78</v>
      </c>
      <c r="J79" s="7" t="s">
        <v>578</v>
      </c>
    </row>
    <row r="80" customFormat="false" ht="27.75" hidden="false" customHeight="true" outlineLevel="0" collapsed="false">
      <c r="A80" s="7" t="s">
        <v>579</v>
      </c>
      <c r="B80" s="7" t="s">
        <v>110</v>
      </c>
      <c r="C80" s="7" t="s">
        <v>111</v>
      </c>
      <c r="D80" s="7" t="s">
        <v>580</v>
      </c>
      <c r="E80" s="7" t="s">
        <v>581</v>
      </c>
      <c r="F80" s="7" t="s">
        <v>285</v>
      </c>
      <c r="G80" s="7" t="s">
        <v>582</v>
      </c>
      <c r="H80" s="7" t="n">
        <v>2</v>
      </c>
      <c r="I80" s="7" t="s">
        <v>78</v>
      </c>
      <c r="J80" s="7" t="s">
        <v>583</v>
      </c>
    </row>
    <row r="81" customFormat="false" ht="27.75" hidden="false" customHeight="true" outlineLevel="0" collapsed="false">
      <c r="A81" s="7" t="s">
        <v>584</v>
      </c>
      <c r="B81" s="7" t="s">
        <v>110</v>
      </c>
      <c r="C81" s="7" t="s">
        <v>111</v>
      </c>
      <c r="D81" s="7" t="s">
        <v>585</v>
      </c>
      <c r="E81" s="7" t="s">
        <v>586</v>
      </c>
      <c r="F81" s="7" t="s">
        <v>285</v>
      </c>
      <c r="G81" s="7" t="s">
        <v>587</v>
      </c>
      <c r="H81" s="7" t="n">
        <v>2</v>
      </c>
      <c r="I81" s="7" t="s">
        <v>78</v>
      </c>
      <c r="J81" s="7" t="s">
        <v>588</v>
      </c>
    </row>
    <row r="82" customFormat="false" ht="27.75" hidden="false" customHeight="true" outlineLevel="0" collapsed="false">
      <c r="A82" s="7" t="s">
        <v>589</v>
      </c>
      <c r="B82" s="7" t="s">
        <v>110</v>
      </c>
      <c r="C82" s="7" t="s">
        <v>111</v>
      </c>
      <c r="D82" s="7" t="s">
        <v>590</v>
      </c>
      <c r="E82" s="7" t="s">
        <v>591</v>
      </c>
      <c r="F82" s="7" t="s">
        <v>285</v>
      </c>
      <c r="G82" s="7"/>
      <c r="H82" s="7" t="n">
        <v>3</v>
      </c>
      <c r="I82" s="7" t="s">
        <v>78</v>
      </c>
      <c r="J82" s="7" t="s">
        <v>592</v>
      </c>
    </row>
    <row r="83" customFormat="false" ht="27.75" hidden="false" customHeight="true" outlineLevel="0" collapsed="false">
      <c r="A83" s="7" t="s">
        <v>593</v>
      </c>
      <c r="B83" s="7" t="s">
        <v>110</v>
      </c>
      <c r="C83" s="7" t="s">
        <v>111</v>
      </c>
      <c r="D83" s="7" t="s">
        <v>594</v>
      </c>
      <c r="E83" s="7" t="s">
        <v>595</v>
      </c>
      <c r="F83" s="7" t="s">
        <v>285</v>
      </c>
      <c r="G83" s="7" t="s">
        <v>596</v>
      </c>
      <c r="H83" s="7" t="n">
        <v>3</v>
      </c>
      <c r="I83" s="7" t="s">
        <v>78</v>
      </c>
      <c r="J83" s="7" t="s">
        <v>597</v>
      </c>
    </row>
    <row r="84" customFormat="false" ht="27.75" hidden="false" customHeight="true" outlineLevel="0" collapsed="false">
      <c r="A84" s="7" t="s">
        <v>598</v>
      </c>
      <c r="B84" s="7" t="s">
        <v>110</v>
      </c>
      <c r="C84" s="7" t="s">
        <v>111</v>
      </c>
      <c r="D84" s="7" t="s">
        <v>599</v>
      </c>
      <c r="E84" s="7" t="s">
        <v>600</v>
      </c>
      <c r="F84" s="7" t="s">
        <v>285</v>
      </c>
      <c r="G84" s="7"/>
      <c r="H84" s="7" t="n">
        <v>3</v>
      </c>
      <c r="I84" s="7" t="s">
        <v>78</v>
      </c>
      <c r="J84" s="7" t="s">
        <v>601</v>
      </c>
    </row>
    <row r="85" customFormat="false" ht="27.75" hidden="false" customHeight="true" outlineLevel="0" collapsed="false">
      <c r="A85" s="7" t="s">
        <v>602</v>
      </c>
      <c r="B85" s="7" t="s">
        <v>110</v>
      </c>
      <c r="C85" s="7" t="s">
        <v>111</v>
      </c>
      <c r="D85" s="7" t="s">
        <v>603</v>
      </c>
      <c r="E85" s="7" t="s">
        <v>604</v>
      </c>
      <c r="F85" s="7" t="s">
        <v>285</v>
      </c>
      <c r="G85" s="7" t="s">
        <v>605</v>
      </c>
      <c r="H85" s="7" t="n">
        <v>3</v>
      </c>
      <c r="I85" s="7" t="s">
        <v>78</v>
      </c>
      <c r="J85" s="7" t="s">
        <v>606</v>
      </c>
    </row>
    <row r="86" customFormat="false" ht="27.75" hidden="false" customHeight="true" outlineLevel="0" collapsed="false">
      <c r="A86" s="7" t="s">
        <v>607</v>
      </c>
      <c r="B86" s="7" t="s">
        <v>117</v>
      </c>
      <c r="C86" s="7" t="s">
        <v>118</v>
      </c>
      <c r="D86" s="7" t="s">
        <v>608</v>
      </c>
      <c r="E86" s="7" t="s">
        <v>609</v>
      </c>
      <c r="F86" s="7" t="s">
        <v>285</v>
      </c>
      <c r="G86" s="7" t="s">
        <v>610</v>
      </c>
      <c r="H86" s="7" t="n">
        <v>1</v>
      </c>
      <c r="I86" s="7" t="s">
        <v>78</v>
      </c>
      <c r="J86" s="7" t="s">
        <v>611</v>
      </c>
    </row>
    <row r="87" customFormat="false" ht="27.75" hidden="false" customHeight="true" outlineLevel="0" collapsed="false">
      <c r="A87" s="7" t="s">
        <v>612</v>
      </c>
      <c r="B87" s="7" t="s">
        <v>117</v>
      </c>
      <c r="C87" s="7" t="s">
        <v>118</v>
      </c>
      <c r="D87" s="7" t="s">
        <v>613</v>
      </c>
      <c r="E87" s="7" t="s">
        <v>614</v>
      </c>
      <c r="F87" s="7" t="s">
        <v>285</v>
      </c>
      <c r="G87" s="7" t="s">
        <v>615</v>
      </c>
      <c r="H87" s="7" t="n">
        <v>1</v>
      </c>
      <c r="I87" s="7" t="s">
        <v>78</v>
      </c>
      <c r="J87" s="7" t="s">
        <v>616</v>
      </c>
    </row>
    <row r="88" customFormat="false" ht="27.75" hidden="false" customHeight="true" outlineLevel="0" collapsed="false">
      <c r="A88" s="7" t="s">
        <v>617</v>
      </c>
      <c r="B88" s="7" t="s">
        <v>117</v>
      </c>
      <c r="C88" s="7" t="s">
        <v>118</v>
      </c>
      <c r="D88" s="7" t="s">
        <v>618</v>
      </c>
      <c r="E88" s="7" t="s">
        <v>619</v>
      </c>
      <c r="F88" s="7" t="s">
        <v>285</v>
      </c>
      <c r="G88" s="7" t="s">
        <v>620</v>
      </c>
      <c r="H88" s="7" t="n">
        <v>2</v>
      </c>
      <c r="I88" s="7" t="s">
        <v>78</v>
      </c>
      <c r="J88" s="7" t="s">
        <v>621</v>
      </c>
    </row>
    <row r="89" customFormat="false" ht="27.75" hidden="false" customHeight="true" outlineLevel="0" collapsed="false">
      <c r="A89" s="7" t="s">
        <v>622</v>
      </c>
      <c r="B89" s="7" t="s">
        <v>117</v>
      </c>
      <c r="C89" s="7" t="s">
        <v>118</v>
      </c>
      <c r="D89" s="7" t="s">
        <v>623</v>
      </c>
      <c r="E89" s="7" t="s">
        <v>624</v>
      </c>
      <c r="F89" s="7" t="s">
        <v>285</v>
      </c>
      <c r="G89" s="7" t="s">
        <v>625</v>
      </c>
      <c r="H89" s="7" t="n">
        <v>2</v>
      </c>
      <c r="I89" s="7" t="s">
        <v>78</v>
      </c>
      <c r="J89" s="7" t="s">
        <v>626</v>
      </c>
    </row>
    <row r="90" customFormat="false" ht="27.75" hidden="false" customHeight="true" outlineLevel="0" collapsed="false">
      <c r="A90" s="7" t="s">
        <v>627</v>
      </c>
      <c r="B90" s="7" t="s">
        <v>117</v>
      </c>
      <c r="C90" s="7" t="s">
        <v>118</v>
      </c>
      <c r="D90" s="7" t="s">
        <v>628</v>
      </c>
      <c r="E90" s="7" t="s">
        <v>629</v>
      </c>
      <c r="F90" s="7" t="s">
        <v>285</v>
      </c>
      <c r="G90" s="7" t="s">
        <v>630</v>
      </c>
      <c r="H90" s="7" t="n">
        <v>2</v>
      </c>
      <c r="I90" s="7" t="s">
        <v>78</v>
      </c>
      <c r="J90" s="7" t="s">
        <v>631</v>
      </c>
    </row>
    <row r="91" customFormat="false" ht="27.75" hidden="false" customHeight="true" outlineLevel="0" collapsed="false">
      <c r="A91" s="7" t="s">
        <v>632</v>
      </c>
      <c r="B91" s="7" t="s">
        <v>117</v>
      </c>
      <c r="C91" s="7" t="s">
        <v>118</v>
      </c>
      <c r="D91" s="7" t="s">
        <v>633</v>
      </c>
      <c r="E91" s="7" t="s">
        <v>634</v>
      </c>
      <c r="F91" s="7" t="s">
        <v>285</v>
      </c>
      <c r="G91" s="7" t="s">
        <v>635</v>
      </c>
      <c r="H91" s="7" t="n">
        <v>2</v>
      </c>
      <c r="I91" s="7" t="s">
        <v>78</v>
      </c>
      <c r="J91" s="7" t="s">
        <v>636</v>
      </c>
    </row>
    <row r="92" customFormat="false" ht="27.75" hidden="false" customHeight="true" outlineLevel="0" collapsed="false">
      <c r="A92" s="7" t="s">
        <v>637</v>
      </c>
      <c r="B92" s="7" t="s">
        <v>117</v>
      </c>
      <c r="C92" s="7" t="s">
        <v>118</v>
      </c>
      <c r="D92" s="7" t="s">
        <v>638</v>
      </c>
      <c r="E92" s="7" t="s">
        <v>639</v>
      </c>
      <c r="F92" s="7" t="s">
        <v>285</v>
      </c>
      <c r="G92" s="7" t="s">
        <v>640</v>
      </c>
      <c r="H92" s="7" t="n">
        <v>3</v>
      </c>
      <c r="I92" s="7" t="s">
        <v>78</v>
      </c>
      <c r="J92" s="7" t="s">
        <v>641</v>
      </c>
    </row>
    <row r="93" customFormat="false" ht="27.75" hidden="false" customHeight="true" outlineLevel="0" collapsed="false">
      <c r="A93" s="7" t="s">
        <v>642</v>
      </c>
      <c r="B93" s="7" t="s">
        <v>124</v>
      </c>
      <c r="C93" s="7" t="s">
        <v>125</v>
      </c>
      <c r="D93" s="7" t="s">
        <v>643</v>
      </c>
      <c r="E93" s="7" t="s">
        <v>644</v>
      </c>
      <c r="F93" s="7" t="s">
        <v>285</v>
      </c>
      <c r="G93" s="7" t="s">
        <v>645</v>
      </c>
      <c r="H93" s="7" t="n">
        <v>2</v>
      </c>
      <c r="I93" s="7" t="s">
        <v>78</v>
      </c>
      <c r="J93" s="7" t="s">
        <v>646</v>
      </c>
    </row>
    <row r="94" customFormat="false" ht="27.75" hidden="false" customHeight="true" outlineLevel="0" collapsed="false">
      <c r="A94" s="7" t="s">
        <v>647</v>
      </c>
      <c r="B94" s="7" t="s">
        <v>124</v>
      </c>
      <c r="C94" s="7" t="s">
        <v>125</v>
      </c>
      <c r="D94" s="7" t="s">
        <v>648</v>
      </c>
      <c r="E94" s="7" t="s">
        <v>649</v>
      </c>
      <c r="F94" s="7" t="s">
        <v>285</v>
      </c>
      <c r="G94" s="7" t="s">
        <v>650</v>
      </c>
      <c r="H94" s="7" t="n">
        <v>2</v>
      </c>
      <c r="I94" s="7" t="s">
        <v>78</v>
      </c>
      <c r="J94" s="7" t="s">
        <v>651</v>
      </c>
    </row>
    <row r="95" customFormat="false" ht="27.75" hidden="false" customHeight="true" outlineLevel="0" collapsed="false">
      <c r="A95" s="7" t="s">
        <v>652</v>
      </c>
      <c r="B95" s="7" t="s">
        <v>124</v>
      </c>
      <c r="C95" s="7" t="s">
        <v>125</v>
      </c>
      <c r="D95" s="7" t="s">
        <v>653</v>
      </c>
      <c r="E95" s="7" t="s">
        <v>654</v>
      </c>
      <c r="F95" s="7" t="s">
        <v>285</v>
      </c>
      <c r="G95" s="7" t="s">
        <v>655</v>
      </c>
      <c r="H95" s="7" t="n">
        <v>3</v>
      </c>
      <c r="I95" s="7" t="s">
        <v>78</v>
      </c>
      <c r="J95" s="7" t="s">
        <v>656</v>
      </c>
    </row>
    <row r="96" customFormat="false" ht="27.75" hidden="false" customHeight="true" outlineLevel="0" collapsed="false">
      <c r="A96" s="7" t="s">
        <v>657</v>
      </c>
      <c r="B96" s="7" t="s">
        <v>124</v>
      </c>
      <c r="C96" s="7" t="s">
        <v>125</v>
      </c>
      <c r="D96" s="7" t="s">
        <v>658</v>
      </c>
      <c r="E96" s="7" t="s">
        <v>659</v>
      </c>
      <c r="F96" s="7" t="s">
        <v>285</v>
      </c>
      <c r="G96" s="7" t="s">
        <v>660</v>
      </c>
      <c r="H96" s="7" t="n">
        <v>3</v>
      </c>
      <c r="I96" s="7" t="s">
        <v>78</v>
      </c>
      <c r="J96" s="7" t="s">
        <v>661</v>
      </c>
    </row>
    <row r="97" customFormat="false" ht="27.75" hidden="false" customHeight="true" outlineLevel="0" collapsed="false">
      <c r="A97" s="7" t="s">
        <v>662</v>
      </c>
      <c r="B97" s="7" t="s">
        <v>124</v>
      </c>
      <c r="C97" s="7" t="s">
        <v>125</v>
      </c>
      <c r="D97" s="7" t="s">
        <v>663</v>
      </c>
      <c r="E97" s="7" t="s">
        <v>664</v>
      </c>
      <c r="F97" s="7" t="s">
        <v>285</v>
      </c>
      <c r="G97" s="7"/>
      <c r="H97" s="7" t="n">
        <v>3</v>
      </c>
      <c r="I97" s="7" t="s">
        <v>78</v>
      </c>
      <c r="J97" s="7" t="s">
        <v>665</v>
      </c>
    </row>
    <row r="98" customFormat="false" ht="27.75" hidden="false" customHeight="true" outlineLevel="0" collapsed="false">
      <c r="A98" s="7" t="s">
        <v>666</v>
      </c>
      <c r="B98" s="7" t="s">
        <v>124</v>
      </c>
      <c r="C98" s="7" t="s">
        <v>125</v>
      </c>
      <c r="D98" s="7" t="s">
        <v>667</v>
      </c>
      <c r="E98" s="7" t="s">
        <v>668</v>
      </c>
      <c r="F98" s="7" t="s">
        <v>285</v>
      </c>
      <c r="G98" s="7"/>
      <c r="H98" s="7" t="n">
        <v>3</v>
      </c>
      <c r="I98" s="7" t="s">
        <v>78</v>
      </c>
      <c r="J98" s="7" t="s">
        <v>669</v>
      </c>
    </row>
    <row r="99" customFormat="false" ht="27.75" hidden="false" customHeight="true" outlineLevel="0" collapsed="false">
      <c r="A99" s="7" t="s">
        <v>670</v>
      </c>
      <c r="B99" s="7" t="s">
        <v>130</v>
      </c>
      <c r="C99" s="7" t="s">
        <v>131</v>
      </c>
      <c r="D99" s="7" t="s">
        <v>671</v>
      </c>
      <c r="E99" s="7" t="s">
        <v>672</v>
      </c>
      <c r="F99" s="7" t="s">
        <v>285</v>
      </c>
      <c r="G99" s="7" t="s">
        <v>673</v>
      </c>
      <c r="H99" s="7" t="n">
        <v>2</v>
      </c>
      <c r="I99" s="7" t="s">
        <v>78</v>
      </c>
      <c r="J99" s="7" t="s">
        <v>674</v>
      </c>
    </row>
    <row r="100" customFormat="false" ht="27.75" hidden="false" customHeight="true" outlineLevel="0" collapsed="false">
      <c r="A100" s="7" t="s">
        <v>675</v>
      </c>
      <c r="B100" s="7" t="s">
        <v>130</v>
      </c>
      <c r="C100" s="7" t="s">
        <v>131</v>
      </c>
      <c r="D100" s="7" t="s">
        <v>676</v>
      </c>
      <c r="E100" s="7" t="s">
        <v>677</v>
      </c>
      <c r="F100" s="7" t="s">
        <v>285</v>
      </c>
      <c r="G100" s="7"/>
      <c r="H100" s="7" t="n">
        <v>2</v>
      </c>
      <c r="I100" s="7" t="s">
        <v>78</v>
      </c>
      <c r="J100" s="7" t="s">
        <v>678</v>
      </c>
    </row>
    <row r="101" customFormat="false" ht="27.75" hidden="false" customHeight="true" outlineLevel="0" collapsed="false">
      <c r="A101" s="7" t="s">
        <v>679</v>
      </c>
      <c r="B101" s="7" t="s">
        <v>130</v>
      </c>
      <c r="C101" s="7" t="s">
        <v>131</v>
      </c>
      <c r="D101" s="7" t="s">
        <v>680</v>
      </c>
      <c r="E101" s="7" t="s">
        <v>681</v>
      </c>
      <c r="F101" s="7" t="s">
        <v>285</v>
      </c>
      <c r="G101" s="7" t="s">
        <v>682</v>
      </c>
      <c r="H101" s="7" t="n">
        <v>2</v>
      </c>
      <c r="I101" s="7" t="s">
        <v>78</v>
      </c>
      <c r="J101" s="7" t="s">
        <v>683</v>
      </c>
    </row>
    <row r="102" customFormat="false" ht="27.75" hidden="false" customHeight="true" outlineLevel="0" collapsed="false">
      <c r="A102" s="7" t="s">
        <v>684</v>
      </c>
      <c r="B102" s="7" t="s">
        <v>130</v>
      </c>
      <c r="C102" s="7" t="s">
        <v>131</v>
      </c>
      <c r="D102" s="7" t="s">
        <v>685</v>
      </c>
      <c r="E102" s="7" t="s">
        <v>686</v>
      </c>
      <c r="F102" s="7" t="s">
        <v>285</v>
      </c>
      <c r="G102" s="7" t="s">
        <v>687</v>
      </c>
      <c r="H102" s="7" t="n">
        <v>2</v>
      </c>
      <c r="I102" s="7" t="s">
        <v>78</v>
      </c>
      <c r="J102" s="7" t="s">
        <v>688</v>
      </c>
    </row>
    <row r="103" customFormat="false" ht="27.75" hidden="false" customHeight="true" outlineLevel="0" collapsed="false">
      <c r="A103" s="7" t="s">
        <v>689</v>
      </c>
      <c r="B103" s="7" t="s">
        <v>130</v>
      </c>
      <c r="C103" s="7" t="s">
        <v>131</v>
      </c>
      <c r="D103" s="7" t="s">
        <v>690</v>
      </c>
      <c r="E103" s="7" t="s">
        <v>691</v>
      </c>
      <c r="F103" s="7" t="s">
        <v>285</v>
      </c>
      <c r="G103" s="7" t="s">
        <v>692</v>
      </c>
      <c r="H103" s="7" t="n">
        <v>3</v>
      </c>
      <c r="I103" s="7" t="s">
        <v>78</v>
      </c>
      <c r="J103" s="7" t="s">
        <v>693</v>
      </c>
    </row>
    <row r="104" customFormat="false" ht="27.75" hidden="false" customHeight="true" outlineLevel="0" collapsed="false">
      <c r="A104" s="7" t="s">
        <v>694</v>
      </c>
      <c r="B104" s="7" t="s">
        <v>137</v>
      </c>
      <c r="C104" s="7" t="s">
        <v>138</v>
      </c>
      <c r="D104" s="7" t="s">
        <v>695</v>
      </c>
      <c r="E104" s="7" t="s">
        <v>696</v>
      </c>
      <c r="F104" s="7" t="s">
        <v>285</v>
      </c>
      <c r="G104" s="7" t="s">
        <v>697</v>
      </c>
      <c r="H104" s="7" t="n">
        <v>2</v>
      </c>
      <c r="I104" s="7" t="s">
        <v>78</v>
      </c>
      <c r="J104" s="7" t="s">
        <v>698</v>
      </c>
    </row>
    <row r="105" customFormat="false" ht="27.75" hidden="false" customHeight="true" outlineLevel="0" collapsed="false">
      <c r="A105" s="7" t="s">
        <v>699</v>
      </c>
      <c r="B105" s="7" t="s">
        <v>137</v>
      </c>
      <c r="C105" s="7" t="s">
        <v>138</v>
      </c>
      <c r="D105" s="7" t="s">
        <v>700</v>
      </c>
      <c r="E105" s="7" t="s">
        <v>701</v>
      </c>
      <c r="F105" s="7" t="s">
        <v>285</v>
      </c>
      <c r="G105" s="7" t="s">
        <v>702</v>
      </c>
      <c r="H105" s="7" t="n">
        <v>2</v>
      </c>
      <c r="I105" s="7" t="s">
        <v>78</v>
      </c>
      <c r="J105" s="7" t="s">
        <v>703</v>
      </c>
    </row>
    <row r="106" customFormat="false" ht="27.75" hidden="false" customHeight="true" outlineLevel="0" collapsed="false">
      <c r="A106" s="7" t="s">
        <v>704</v>
      </c>
      <c r="B106" s="7" t="s">
        <v>137</v>
      </c>
      <c r="C106" s="7" t="s">
        <v>138</v>
      </c>
      <c r="D106" s="7" t="s">
        <v>705</v>
      </c>
      <c r="E106" s="7" t="s">
        <v>706</v>
      </c>
      <c r="F106" s="7" t="s">
        <v>285</v>
      </c>
      <c r="G106" s="7" t="s">
        <v>707</v>
      </c>
      <c r="H106" s="7" t="n">
        <v>2</v>
      </c>
      <c r="I106" s="7" t="s">
        <v>78</v>
      </c>
      <c r="J106" s="7" t="s">
        <v>708</v>
      </c>
    </row>
    <row r="107" customFormat="false" ht="27.75" hidden="false" customHeight="true" outlineLevel="0" collapsed="false">
      <c r="A107" s="7" t="s">
        <v>709</v>
      </c>
      <c r="B107" s="7" t="s">
        <v>137</v>
      </c>
      <c r="C107" s="7" t="s">
        <v>138</v>
      </c>
      <c r="D107" s="7" t="s">
        <v>710</v>
      </c>
      <c r="E107" s="7" t="s">
        <v>711</v>
      </c>
      <c r="F107" s="7" t="s">
        <v>285</v>
      </c>
      <c r="G107" s="7" t="s">
        <v>712</v>
      </c>
      <c r="H107" s="7" t="n">
        <v>2</v>
      </c>
      <c r="I107" s="7" t="s">
        <v>78</v>
      </c>
      <c r="J107" s="7" t="s">
        <v>713</v>
      </c>
    </row>
    <row r="108" customFormat="false" ht="27.75" hidden="false" customHeight="true" outlineLevel="0" collapsed="false">
      <c r="A108" s="7" t="s">
        <v>714</v>
      </c>
      <c r="B108" s="7" t="s">
        <v>137</v>
      </c>
      <c r="C108" s="7" t="s">
        <v>138</v>
      </c>
      <c r="D108" s="7" t="s">
        <v>715</v>
      </c>
      <c r="E108" s="7" t="s">
        <v>716</v>
      </c>
      <c r="F108" s="7" t="s">
        <v>285</v>
      </c>
      <c r="G108" s="7"/>
      <c r="H108" s="7" t="n">
        <v>3</v>
      </c>
      <c r="I108" s="7" t="s">
        <v>78</v>
      </c>
      <c r="J108" s="7" t="s">
        <v>717</v>
      </c>
    </row>
    <row r="109" customFormat="false" ht="27.75" hidden="false" customHeight="true" outlineLevel="0" collapsed="false">
      <c r="A109" s="7" t="s">
        <v>718</v>
      </c>
      <c r="B109" s="7" t="s">
        <v>144</v>
      </c>
      <c r="C109" s="7" t="s">
        <v>145</v>
      </c>
      <c r="D109" s="7" t="s">
        <v>719</v>
      </c>
      <c r="E109" s="7" t="s">
        <v>720</v>
      </c>
      <c r="F109" s="7" t="s">
        <v>285</v>
      </c>
      <c r="G109" s="7"/>
      <c r="H109" s="7" t="n">
        <v>2</v>
      </c>
      <c r="I109" s="7" t="s">
        <v>78</v>
      </c>
      <c r="J109" s="7" t="s">
        <v>721</v>
      </c>
    </row>
    <row r="110" customFormat="false" ht="27.75" hidden="false" customHeight="true" outlineLevel="0" collapsed="false">
      <c r="A110" s="7" t="s">
        <v>722</v>
      </c>
      <c r="B110" s="7" t="s">
        <v>144</v>
      </c>
      <c r="C110" s="7" t="s">
        <v>145</v>
      </c>
      <c r="D110" s="7" t="s">
        <v>723</v>
      </c>
      <c r="E110" s="7" t="s">
        <v>724</v>
      </c>
      <c r="F110" s="7" t="s">
        <v>285</v>
      </c>
      <c r="G110" s="7"/>
      <c r="H110" s="7" t="n">
        <v>2</v>
      </c>
      <c r="I110" s="7" t="s">
        <v>78</v>
      </c>
      <c r="J110" s="7" t="s">
        <v>725</v>
      </c>
    </row>
    <row r="111" customFormat="false" ht="27.75" hidden="false" customHeight="true" outlineLevel="0" collapsed="false">
      <c r="A111" s="7" t="s">
        <v>726</v>
      </c>
      <c r="B111" s="7" t="s">
        <v>144</v>
      </c>
      <c r="C111" s="7" t="s">
        <v>145</v>
      </c>
      <c r="D111" s="7" t="s">
        <v>727</v>
      </c>
      <c r="E111" s="7" t="s">
        <v>728</v>
      </c>
      <c r="F111" s="7" t="s">
        <v>285</v>
      </c>
      <c r="G111" s="7" t="s">
        <v>729</v>
      </c>
      <c r="H111" s="7" t="n">
        <v>2</v>
      </c>
      <c r="I111" s="7" t="s">
        <v>78</v>
      </c>
      <c r="J111" s="7" t="s">
        <v>730</v>
      </c>
    </row>
    <row r="112" customFormat="false" ht="27.75" hidden="false" customHeight="true" outlineLevel="0" collapsed="false">
      <c r="A112" s="7" t="s">
        <v>731</v>
      </c>
      <c r="B112" s="7" t="s">
        <v>144</v>
      </c>
      <c r="C112" s="7" t="s">
        <v>145</v>
      </c>
      <c r="D112" s="7" t="s">
        <v>732</v>
      </c>
      <c r="E112" s="7" t="s">
        <v>733</v>
      </c>
      <c r="F112" s="7" t="s">
        <v>285</v>
      </c>
      <c r="G112" s="7" t="s">
        <v>734</v>
      </c>
      <c r="H112" s="7" t="n">
        <v>2</v>
      </c>
      <c r="I112" s="7" t="s">
        <v>78</v>
      </c>
      <c r="J112" s="7" t="s">
        <v>735</v>
      </c>
    </row>
    <row r="113" customFormat="false" ht="27.75" hidden="false" customHeight="true" outlineLevel="0" collapsed="false">
      <c r="A113" s="7" t="s">
        <v>736</v>
      </c>
      <c r="B113" s="7" t="s">
        <v>144</v>
      </c>
      <c r="C113" s="7" t="s">
        <v>145</v>
      </c>
      <c r="D113" s="7" t="s">
        <v>737</v>
      </c>
      <c r="E113" s="7" t="s">
        <v>738</v>
      </c>
      <c r="F113" s="7" t="s">
        <v>285</v>
      </c>
      <c r="G113" s="7"/>
      <c r="H113" s="7" t="n">
        <v>3</v>
      </c>
      <c r="I113" s="7" t="s">
        <v>78</v>
      </c>
      <c r="J113" s="7" t="s">
        <v>739</v>
      </c>
    </row>
    <row r="114" customFormat="false" ht="27.75" hidden="false" customHeight="true" outlineLevel="0" collapsed="false">
      <c r="A114" s="7" t="s">
        <v>740</v>
      </c>
      <c r="B114" s="7" t="s">
        <v>144</v>
      </c>
      <c r="C114" s="7" t="s">
        <v>145</v>
      </c>
      <c r="D114" s="7" t="s">
        <v>741</v>
      </c>
      <c r="E114" s="7" t="s">
        <v>742</v>
      </c>
      <c r="F114" s="7" t="s">
        <v>285</v>
      </c>
      <c r="G114" s="7"/>
      <c r="H114" s="7" t="n">
        <v>3</v>
      </c>
      <c r="I114" s="7" t="s">
        <v>78</v>
      </c>
      <c r="J114" s="7" t="s">
        <v>743</v>
      </c>
    </row>
    <row r="115" customFormat="false" ht="27.75" hidden="false" customHeight="true" outlineLevel="0" collapsed="false">
      <c r="A115" s="7" t="s">
        <v>744</v>
      </c>
      <c r="B115" s="7" t="s">
        <v>144</v>
      </c>
      <c r="C115" s="7" t="s">
        <v>145</v>
      </c>
      <c r="D115" s="7" t="s">
        <v>745</v>
      </c>
      <c r="E115" s="7" t="s">
        <v>746</v>
      </c>
      <c r="F115" s="7" t="s">
        <v>285</v>
      </c>
      <c r="G115" s="7"/>
      <c r="H115" s="7" t="n">
        <v>3</v>
      </c>
      <c r="I115" s="7" t="s">
        <v>78</v>
      </c>
      <c r="J115" s="7" t="s">
        <v>747</v>
      </c>
    </row>
    <row r="116" customFormat="false" ht="27.75" hidden="false" customHeight="true" outlineLevel="0" collapsed="false">
      <c r="A116" s="7" t="s">
        <v>748</v>
      </c>
      <c r="B116" s="7" t="s">
        <v>144</v>
      </c>
      <c r="C116" s="7" t="s">
        <v>145</v>
      </c>
      <c r="D116" s="7" t="s">
        <v>749</v>
      </c>
      <c r="E116" s="7" t="s">
        <v>750</v>
      </c>
      <c r="F116" s="7" t="s">
        <v>285</v>
      </c>
      <c r="G116" s="7"/>
      <c r="H116" s="7" t="n">
        <v>3</v>
      </c>
      <c r="I116" s="7" t="s">
        <v>78</v>
      </c>
      <c r="J116" s="7" t="s">
        <v>751</v>
      </c>
    </row>
    <row r="117" customFormat="false" ht="27.75" hidden="false" customHeight="true" outlineLevel="0" collapsed="false">
      <c r="A117" s="7" t="s">
        <v>752</v>
      </c>
      <c r="B117" s="7" t="s">
        <v>149</v>
      </c>
      <c r="C117" s="7" t="s">
        <v>150</v>
      </c>
      <c r="D117" s="7" t="s">
        <v>753</v>
      </c>
      <c r="E117" s="7" t="s">
        <v>754</v>
      </c>
      <c r="F117" s="7" t="s">
        <v>285</v>
      </c>
      <c r="G117" s="7" t="s">
        <v>755</v>
      </c>
      <c r="H117" s="7" t="n">
        <v>2</v>
      </c>
      <c r="I117" s="7" t="s">
        <v>78</v>
      </c>
      <c r="J117" s="7" t="s">
        <v>756</v>
      </c>
    </row>
    <row r="118" customFormat="false" ht="27.75" hidden="false" customHeight="true" outlineLevel="0" collapsed="false">
      <c r="A118" s="7" t="s">
        <v>757</v>
      </c>
      <c r="B118" s="7" t="s">
        <v>149</v>
      </c>
      <c r="C118" s="7" t="s">
        <v>150</v>
      </c>
      <c r="D118" s="7" t="s">
        <v>758</v>
      </c>
      <c r="E118" s="7" t="s">
        <v>759</v>
      </c>
      <c r="F118" s="7" t="s">
        <v>285</v>
      </c>
      <c r="G118" s="7" t="s">
        <v>760</v>
      </c>
      <c r="H118" s="7" t="n">
        <v>2</v>
      </c>
      <c r="I118" s="7" t="s">
        <v>78</v>
      </c>
      <c r="J118" s="7" t="s">
        <v>761</v>
      </c>
    </row>
    <row r="119" customFormat="false" ht="27.75" hidden="false" customHeight="true" outlineLevel="0" collapsed="false">
      <c r="A119" s="7" t="s">
        <v>762</v>
      </c>
      <c r="B119" s="7" t="s">
        <v>149</v>
      </c>
      <c r="C119" s="7" t="s">
        <v>150</v>
      </c>
      <c r="D119" s="7" t="s">
        <v>763</v>
      </c>
      <c r="E119" s="7" t="s">
        <v>764</v>
      </c>
      <c r="F119" s="7" t="s">
        <v>285</v>
      </c>
      <c r="G119" s="7" t="s">
        <v>765</v>
      </c>
      <c r="H119" s="7" t="n">
        <v>2</v>
      </c>
      <c r="I119" s="7" t="s">
        <v>78</v>
      </c>
      <c r="J119" s="7" t="s">
        <v>766</v>
      </c>
    </row>
    <row r="120" customFormat="false" ht="27.75" hidden="false" customHeight="true" outlineLevel="0" collapsed="false">
      <c r="A120" s="7" t="s">
        <v>767</v>
      </c>
      <c r="B120" s="7" t="s">
        <v>149</v>
      </c>
      <c r="C120" s="7" t="s">
        <v>150</v>
      </c>
      <c r="D120" s="7" t="s">
        <v>768</v>
      </c>
      <c r="E120" s="7" t="s">
        <v>769</v>
      </c>
      <c r="F120" s="7" t="s">
        <v>285</v>
      </c>
      <c r="G120" s="7" t="s">
        <v>770</v>
      </c>
      <c r="H120" s="7" t="n">
        <v>2</v>
      </c>
      <c r="I120" s="7" t="s">
        <v>78</v>
      </c>
      <c r="J120" s="7" t="s">
        <v>771</v>
      </c>
    </row>
    <row r="121" customFormat="false" ht="27.75" hidden="false" customHeight="true" outlineLevel="0" collapsed="false">
      <c r="A121" s="7" t="s">
        <v>772</v>
      </c>
      <c r="B121" s="7" t="s">
        <v>149</v>
      </c>
      <c r="C121" s="7" t="s">
        <v>150</v>
      </c>
      <c r="D121" s="7" t="s">
        <v>773</v>
      </c>
      <c r="E121" s="7" t="s">
        <v>774</v>
      </c>
      <c r="F121" s="7" t="s">
        <v>285</v>
      </c>
      <c r="G121" s="7"/>
      <c r="H121" s="7" t="n">
        <v>3</v>
      </c>
      <c r="I121" s="7" t="s">
        <v>78</v>
      </c>
      <c r="J121" s="7" t="s">
        <v>775</v>
      </c>
    </row>
    <row r="122" customFormat="false" ht="27.75" hidden="false" customHeight="true" outlineLevel="0" collapsed="false">
      <c r="A122" s="7" t="s">
        <v>776</v>
      </c>
      <c r="B122" s="7" t="s">
        <v>149</v>
      </c>
      <c r="C122" s="7" t="s">
        <v>150</v>
      </c>
      <c r="D122" s="7" t="s">
        <v>777</v>
      </c>
      <c r="E122" s="7" t="s">
        <v>778</v>
      </c>
      <c r="F122" s="7" t="s">
        <v>285</v>
      </c>
      <c r="G122" s="7"/>
      <c r="H122" s="7" t="n">
        <v>3</v>
      </c>
      <c r="I122" s="7" t="s">
        <v>78</v>
      </c>
      <c r="J122" s="7" t="s">
        <v>779</v>
      </c>
    </row>
    <row r="123" customFormat="false" ht="27.75" hidden="false" customHeight="true" outlineLevel="0" collapsed="false">
      <c r="A123" s="7" t="s">
        <v>780</v>
      </c>
      <c r="B123" s="7" t="s">
        <v>155</v>
      </c>
      <c r="C123" s="7" t="s">
        <v>156</v>
      </c>
      <c r="D123" s="7" t="s">
        <v>781</v>
      </c>
      <c r="E123" s="7" t="s">
        <v>782</v>
      </c>
      <c r="F123" s="7" t="s">
        <v>285</v>
      </c>
      <c r="G123" s="7" t="s">
        <v>783</v>
      </c>
      <c r="H123" s="7" t="n">
        <v>2</v>
      </c>
      <c r="I123" s="7" t="s">
        <v>78</v>
      </c>
      <c r="J123" s="7" t="s">
        <v>784</v>
      </c>
    </row>
    <row r="124" customFormat="false" ht="27.75" hidden="false" customHeight="true" outlineLevel="0" collapsed="false">
      <c r="A124" s="7" t="s">
        <v>785</v>
      </c>
      <c r="B124" s="7" t="s">
        <v>155</v>
      </c>
      <c r="C124" s="7" t="s">
        <v>156</v>
      </c>
      <c r="D124" s="7" t="s">
        <v>786</v>
      </c>
      <c r="E124" s="7" t="s">
        <v>787</v>
      </c>
      <c r="F124" s="7" t="s">
        <v>285</v>
      </c>
      <c r="G124" s="7" t="s">
        <v>788</v>
      </c>
      <c r="H124" s="7" t="n">
        <v>2</v>
      </c>
      <c r="I124" s="7" t="s">
        <v>78</v>
      </c>
      <c r="J124" s="7" t="s">
        <v>789</v>
      </c>
    </row>
    <row r="125" customFormat="false" ht="27.75" hidden="false" customHeight="true" outlineLevel="0" collapsed="false">
      <c r="A125" s="7" t="s">
        <v>790</v>
      </c>
      <c r="B125" s="7" t="s">
        <v>155</v>
      </c>
      <c r="C125" s="7" t="s">
        <v>156</v>
      </c>
      <c r="D125" s="7" t="s">
        <v>791</v>
      </c>
      <c r="E125" s="7" t="s">
        <v>792</v>
      </c>
      <c r="F125" s="7" t="s">
        <v>285</v>
      </c>
      <c r="G125" s="7"/>
      <c r="H125" s="7" t="n">
        <v>3</v>
      </c>
      <c r="I125" s="7" t="s">
        <v>78</v>
      </c>
      <c r="J125" s="7" t="s">
        <v>793</v>
      </c>
    </row>
    <row r="126" customFormat="false" ht="27.75" hidden="false" customHeight="true" outlineLevel="0" collapsed="false">
      <c r="A126" s="7" t="s">
        <v>794</v>
      </c>
      <c r="B126" s="7" t="s">
        <v>155</v>
      </c>
      <c r="C126" s="7" t="s">
        <v>156</v>
      </c>
      <c r="D126" s="7" t="s">
        <v>795</v>
      </c>
      <c r="E126" s="7" t="s">
        <v>796</v>
      </c>
      <c r="F126" s="7" t="s">
        <v>285</v>
      </c>
      <c r="G126" s="7"/>
      <c r="H126" s="7" t="n">
        <v>3</v>
      </c>
      <c r="I126" s="7" t="s">
        <v>78</v>
      </c>
      <c r="J126" s="7" t="s">
        <v>797</v>
      </c>
    </row>
    <row r="127" customFormat="false" ht="27.75" hidden="false" customHeight="true" outlineLevel="0" collapsed="false">
      <c r="A127" s="7" t="s">
        <v>798</v>
      </c>
      <c r="B127" s="7" t="s">
        <v>155</v>
      </c>
      <c r="C127" s="7" t="s">
        <v>156</v>
      </c>
      <c r="D127" s="7" t="s">
        <v>799</v>
      </c>
      <c r="E127" s="7" t="s">
        <v>800</v>
      </c>
      <c r="F127" s="7" t="s">
        <v>285</v>
      </c>
      <c r="G127" s="7"/>
      <c r="H127" s="7" t="n">
        <v>3</v>
      </c>
      <c r="I127" s="7" t="s">
        <v>78</v>
      </c>
      <c r="J127" s="7" t="s">
        <v>801</v>
      </c>
    </row>
    <row r="128" customFormat="false" ht="27.75" hidden="false" customHeight="true" outlineLevel="0" collapsed="false">
      <c r="A128" s="7" t="s">
        <v>802</v>
      </c>
      <c r="B128" s="7" t="s">
        <v>161</v>
      </c>
      <c r="C128" s="7" t="s">
        <v>162</v>
      </c>
      <c r="D128" s="7" t="s">
        <v>803</v>
      </c>
      <c r="E128" s="7" t="s">
        <v>804</v>
      </c>
      <c r="F128" s="7" t="s">
        <v>285</v>
      </c>
      <c r="G128" s="7" t="s">
        <v>805</v>
      </c>
      <c r="H128" s="7" t="n">
        <v>2</v>
      </c>
      <c r="I128" s="7" t="s">
        <v>78</v>
      </c>
      <c r="J128" s="7" t="s">
        <v>806</v>
      </c>
    </row>
    <row r="129" customFormat="false" ht="27.75" hidden="false" customHeight="true" outlineLevel="0" collapsed="false">
      <c r="A129" s="7" t="s">
        <v>807</v>
      </c>
      <c r="B129" s="7" t="s">
        <v>161</v>
      </c>
      <c r="C129" s="7" t="s">
        <v>162</v>
      </c>
      <c r="D129" s="7" t="s">
        <v>808</v>
      </c>
      <c r="E129" s="7" t="s">
        <v>809</v>
      </c>
      <c r="F129" s="7" t="s">
        <v>285</v>
      </c>
      <c r="G129" s="7"/>
      <c r="H129" s="7" t="n">
        <v>2</v>
      </c>
      <c r="I129" s="7" t="s">
        <v>78</v>
      </c>
      <c r="J129" s="7" t="s">
        <v>810</v>
      </c>
    </row>
    <row r="130" customFormat="false" ht="27.75" hidden="false" customHeight="true" outlineLevel="0" collapsed="false">
      <c r="A130" s="7" t="s">
        <v>811</v>
      </c>
      <c r="B130" s="7" t="s">
        <v>161</v>
      </c>
      <c r="C130" s="7" t="s">
        <v>162</v>
      </c>
      <c r="D130" s="7" t="s">
        <v>812</v>
      </c>
      <c r="E130" s="7" t="s">
        <v>813</v>
      </c>
      <c r="F130" s="7" t="s">
        <v>285</v>
      </c>
      <c r="G130" s="7"/>
      <c r="H130" s="7" t="n">
        <v>2</v>
      </c>
      <c r="I130" s="7" t="s">
        <v>78</v>
      </c>
      <c r="J130" s="7" t="s">
        <v>814</v>
      </c>
    </row>
    <row r="131" customFormat="false" ht="27.75" hidden="false" customHeight="true" outlineLevel="0" collapsed="false">
      <c r="A131" s="7" t="s">
        <v>815</v>
      </c>
      <c r="B131" s="7" t="s">
        <v>167</v>
      </c>
      <c r="C131" s="7" t="s">
        <v>168</v>
      </c>
      <c r="D131" s="7" t="s">
        <v>816</v>
      </c>
      <c r="E131" s="7" t="s">
        <v>817</v>
      </c>
      <c r="F131" s="7" t="s">
        <v>285</v>
      </c>
      <c r="G131" s="7" t="s">
        <v>818</v>
      </c>
      <c r="H131" s="7" t="n">
        <v>2</v>
      </c>
      <c r="I131" s="7" t="s">
        <v>78</v>
      </c>
      <c r="J131" s="7" t="s">
        <v>819</v>
      </c>
    </row>
    <row r="132" customFormat="false" ht="27.75" hidden="false" customHeight="true" outlineLevel="0" collapsed="false">
      <c r="A132" s="7" t="s">
        <v>820</v>
      </c>
      <c r="B132" s="7" t="s">
        <v>167</v>
      </c>
      <c r="C132" s="7" t="s">
        <v>168</v>
      </c>
      <c r="D132" s="7" t="s">
        <v>821</v>
      </c>
      <c r="E132" s="7" t="s">
        <v>822</v>
      </c>
      <c r="F132" s="7" t="s">
        <v>285</v>
      </c>
      <c r="G132" s="7" t="s">
        <v>823</v>
      </c>
      <c r="H132" s="7" t="n">
        <v>2</v>
      </c>
      <c r="I132" s="7" t="s">
        <v>78</v>
      </c>
      <c r="J132" s="7" t="s">
        <v>824</v>
      </c>
    </row>
    <row r="133" customFormat="false" ht="27.75" hidden="false" customHeight="true" outlineLevel="0" collapsed="false">
      <c r="A133" s="7" t="s">
        <v>825</v>
      </c>
      <c r="B133" s="7" t="s">
        <v>167</v>
      </c>
      <c r="C133" s="7" t="s">
        <v>168</v>
      </c>
      <c r="D133" s="7" t="s">
        <v>826</v>
      </c>
      <c r="E133" s="7" t="s">
        <v>827</v>
      </c>
      <c r="F133" s="7" t="s">
        <v>285</v>
      </c>
      <c r="G133" s="7" t="s">
        <v>828</v>
      </c>
      <c r="H133" s="7" t="n">
        <v>2</v>
      </c>
      <c r="I133" s="7" t="s">
        <v>78</v>
      </c>
      <c r="J133" s="7" t="s">
        <v>829</v>
      </c>
    </row>
    <row r="134" customFormat="false" ht="27.75" hidden="false" customHeight="true" outlineLevel="0" collapsed="false">
      <c r="A134" s="7" t="s">
        <v>830</v>
      </c>
      <c r="B134" s="7" t="s">
        <v>167</v>
      </c>
      <c r="C134" s="7" t="s">
        <v>168</v>
      </c>
      <c r="D134" s="7" t="s">
        <v>831</v>
      </c>
      <c r="E134" s="7" t="s">
        <v>832</v>
      </c>
      <c r="F134" s="7" t="s">
        <v>285</v>
      </c>
      <c r="G134" s="7" t="s">
        <v>833</v>
      </c>
      <c r="H134" s="7" t="n">
        <v>3</v>
      </c>
      <c r="I134" s="7" t="s">
        <v>78</v>
      </c>
      <c r="J134" s="7" t="s">
        <v>656</v>
      </c>
    </row>
    <row r="135" customFormat="false" ht="27.75" hidden="false" customHeight="true" outlineLevel="0" collapsed="false">
      <c r="A135" s="7" t="s">
        <v>834</v>
      </c>
      <c r="B135" s="7" t="s">
        <v>167</v>
      </c>
      <c r="C135" s="7" t="s">
        <v>168</v>
      </c>
      <c r="D135" s="7" t="s">
        <v>835</v>
      </c>
      <c r="E135" s="7" t="s">
        <v>836</v>
      </c>
      <c r="F135" s="7" t="s">
        <v>285</v>
      </c>
      <c r="G135" s="7" t="s">
        <v>837</v>
      </c>
      <c r="H135" s="7" t="n">
        <v>3</v>
      </c>
      <c r="I135" s="7" t="s">
        <v>78</v>
      </c>
      <c r="J135" s="7" t="s">
        <v>661</v>
      </c>
    </row>
    <row r="136" customFormat="false" ht="27.75" hidden="false" customHeight="true" outlineLevel="0" collapsed="false">
      <c r="A136" s="7" t="s">
        <v>838</v>
      </c>
      <c r="B136" s="7" t="s">
        <v>167</v>
      </c>
      <c r="C136" s="7" t="s">
        <v>168</v>
      </c>
      <c r="D136" s="7" t="s">
        <v>839</v>
      </c>
      <c r="E136" s="7" t="s">
        <v>840</v>
      </c>
      <c r="F136" s="7" t="s">
        <v>285</v>
      </c>
      <c r="G136" s="7" t="s">
        <v>841</v>
      </c>
      <c r="H136" s="7" t="n">
        <v>3</v>
      </c>
      <c r="I136" s="7" t="s">
        <v>78</v>
      </c>
      <c r="J136" s="7" t="s">
        <v>842</v>
      </c>
    </row>
    <row r="137" customFormat="false" ht="27.75" hidden="false" customHeight="true" outlineLevel="0" collapsed="false">
      <c r="A137" s="7" t="s">
        <v>843</v>
      </c>
      <c r="B137" s="7" t="s">
        <v>167</v>
      </c>
      <c r="C137" s="7" t="s">
        <v>168</v>
      </c>
      <c r="D137" s="7" t="s">
        <v>844</v>
      </c>
      <c r="E137" s="7" t="s">
        <v>845</v>
      </c>
      <c r="F137" s="7" t="s">
        <v>285</v>
      </c>
      <c r="G137" s="7"/>
      <c r="H137" s="7" t="n">
        <v>3</v>
      </c>
      <c r="I137" s="7" t="s">
        <v>78</v>
      </c>
      <c r="J137" s="7" t="s">
        <v>846</v>
      </c>
    </row>
    <row r="138" customFormat="false" ht="27.75" hidden="false" customHeight="true" outlineLevel="0" collapsed="false">
      <c r="A138" s="7" t="s">
        <v>847</v>
      </c>
      <c r="B138" s="7" t="s">
        <v>173</v>
      </c>
      <c r="C138" s="7" t="s">
        <v>174</v>
      </c>
      <c r="D138" s="7" t="s">
        <v>848</v>
      </c>
      <c r="E138" s="7" t="s">
        <v>849</v>
      </c>
      <c r="F138" s="7" t="s">
        <v>285</v>
      </c>
      <c r="G138" s="7" t="s">
        <v>850</v>
      </c>
      <c r="H138" s="7" t="n">
        <v>2</v>
      </c>
      <c r="I138" s="7" t="s">
        <v>78</v>
      </c>
      <c r="J138" s="7" t="s">
        <v>851</v>
      </c>
    </row>
    <row r="139" customFormat="false" ht="27.75" hidden="false" customHeight="true" outlineLevel="0" collapsed="false">
      <c r="A139" s="7" t="s">
        <v>852</v>
      </c>
      <c r="B139" s="7" t="s">
        <v>173</v>
      </c>
      <c r="C139" s="7" t="s">
        <v>174</v>
      </c>
      <c r="D139" s="7" t="s">
        <v>853</v>
      </c>
      <c r="E139" s="7" t="s">
        <v>854</v>
      </c>
      <c r="F139" s="7" t="s">
        <v>285</v>
      </c>
      <c r="G139" s="7" t="s">
        <v>855</v>
      </c>
      <c r="H139" s="7" t="n">
        <v>2</v>
      </c>
      <c r="I139" s="7" t="s">
        <v>78</v>
      </c>
      <c r="J139" s="7" t="s">
        <v>856</v>
      </c>
    </row>
    <row r="140" customFormat="false" ht="27.75" hidden="false" customHeight="true" outlineLevel="0" collapsed="false">
      <c r="A140" s="7" t="s">
        <v>857</v>
      </c>
      <c r="B140" s="7" t="s">
        <v>173</v>
      </c>
      <c r="C140" s="7" t="s">
        <v>174</v>
      </c>
      <c r="D140" s="7" t="s">
        <v>858</v>
      </c>
      <c r="E140" s="7" t="s">
        <v>859</v>
      </c>
      <c r="F140" s="7" t="s">
        <v>285</v>
      </c>
      <c r="G140" s="7"/>
      <c r="H140" s="7" t="n">
        <v>3</v>
      </c>
      <c r="I140" s="7" t="s">
        <v>78</v>
      </c>
      <c r="J140" s="7" t="s">
        <v>860</v>
      </c>
    </row>
    <row r="141" customFormat="false" ht="27.75" hidden="false" customHeight="true" outlineLevel="0" collapsed="false">
      <c r="A141" s="7" t="s">
        <v>861</v>
      </c>
      <c r="B141" s="7" t="s">
        <v>173</v>
      </c>
      <c r="C141" s="7" t="s">
        <v>174</v>
      </c>
      <c r="D141" s="7" t="s">
        <v>862</v>
      </c>
      <c r="E141" s="7" t="s">
        <v>863</v>
      </c>
      <c r="F141" s="7" t="s">
        <v>285</v>
      </c>
      <c r="G141" s="7"/>
      <c r="H141" s="7" t="n">
        <v>3</v>
      </c>
      <c r="I141" s="7" t="s">
        <v>78</v>
      </c>
      <c r="J141" s="7" t="s">
        <v>717</v>
      </c>
    </row>
    <row r="142" customFormat="false" ht="27.75" hidden="false" customHeight="true" outlineLevel="0" collapsed="false">
      <c r="A142" s="7" t="s">
        <v>864</v>
      </c>
      <c r="B142" s="7" t="s">
        <v>179</v>
      </c>
      <c r="C142" s="7" t="s">
        <v>180</v>
      </c>
      <c r="D142" s="7" t="s">
        <v>865</v>
      </c>
      <c r="E142" s="7" t="s">
        <v>866</v>
      </c>
      <c r="F142" s="7" t="s">
        <v>285</v>
      </c>
      <c r="G142" s="7" t="s">
        <v>867</v>
      </c>
      <c r="H142" s="7" t="n">
        <v>2</v>
      </c>
      <c r="I142" s="7" t="s">
        <v>78</v>
      </c>
      <c r="J142" s="7" t="s">
        <v>324</v>
      </c>
    </row>
    <row r="143" customFormat="false" ht="27.75" hidden="false" customHeight="true" outlineLevel="0" collapsed="false">
      <c r="A143" s="7" t="s">
        <v>868</v>
      </c>
      <c r="B143" s="7" t="s">
        <v>179</v>
      </c>
      <c r="C143" s="7" t="s">
        <v>180</v>
      </c>
      <c r="D143" s="7" t="s">
        <v>869</v>
      </c>
      <c r="E143" s="7" t="s">
        <v>870</v>
      </c>
      <c r="F143" s="7" t="s">
        <v>285</v>
      </c>
      <c r="G143" s="7" t="s">
        <v>871</v>
      </c>
      <c r="H143" s="7" t="n">
        <v>2</v>
      </c>
      <c r="I143" s="7" t="s">
        <v>78</v>
      </c>
      <c r="J143" s="7" t="s">
        <v>872</v>
      </c>
    </row>
    <row r="144" customFormat="false" ht="27.75" hidden="false" customHeight="true" outlineLevel="0" collapsed="false">
      <c r="A144" s="7" t="s">
        <v>873</v>
      </c>
      <c r="B144" s="7" t="s">
        <v>179</v>
      </c>
      <c r="C144" s="7" t="s">
        <v>180</v>
      </c>
      <c r="D144" s="7" t="s">
        <v>874</v>
      </c>
      <c r="E144" s="7" t="s">
        <v>875</v>
      </c>
      <c r="F144" s="7" t="s">
        <v>285</v>
      </c>
      <c r="G144" s="7" t="s">
        <v>876</v>
      </c>
      <c r="H144" s="7" t="n">
        <v>2</v>
      </c>
      <c r="I144" s="7" t="s">
        <v>78</v>
      </c>
      <c r="J144" s="7" t="s">
        <v>877</v>
      </c>
    </row>
    <row r="145" customFormat="false" ht="27.75" hidden="false" customHeight="true" outlineLevel="0" collapsed="false">
      <c r="A145" s="7" t="s">
        <v>878</v>
      </c>
      <c r="B145" s="7" t="s">
        <v>179</v>
      </c>
      <c r="C145" s="7" t="s">
        <v>180</v>
      </c>
      <c r="D145" s="7" t="s">
        <v>879</v>
      </c>
      <c r="E145" s="7" t="s">
        <v>880</v>
      </c>
      <c r="F145" s="7" t="s">
        <v>285</v>
      </c>
      <c r="G145" s="7"/>
      <c r="H145" s="7" t="n">
        <v>3</v>
      </c>
      <c r="I145" s="7" t="s">
        <v>78</v>
      </c>
      <c r="J145" s="7" t="s">
        <v>881</v>
      </c>
    </row>
    <row r="146" customFormat="false" ht="27.75" hidden="false" customHeight="true" outlineLevel="0" collapsed="false">
      <c r="A146" s="7" t="s">
        <v>882</v>
      </c>
      <c r="B146" s="7" t="s">
        <v>179</v>
      </c>
      <c r="C146" s="7" t="s">
        <v>180</v>
      </c>
      <c r="D146" s="7" t="s">
        <v>883</v>
      </c>
      <c r="E146" s="7" t="s">
        <v>884</v>
      </c>
      <c r="F146" s="7" t="s">
        <v>285</v>
      </c>
      <c r="G146" s="7"/>
      <c r="H146" s="7" t="n">
        <v>3</v>
      </c>
      <c r="I146" s="7" t="s">
        <v>78</v>
      </c>
      <c r="J146" s="7" t="s">
        <v>885</v>
      </c>
    </row>
    <row r="147" customFormat="false" ht="27.75" hidden="false" customHeight="true" outlineLevel="0" collapsed="false">
      <c r="A147" s="7" t="s">
        <v>886</v>
      </c>
      <c r="B147" s="7" t="s">
        <v>179</v>
      </c>
      <c r="C147" s="7" t="s">
        <v>180</v>
      </c>
      <c r="D147" s="7" t="s">
        <v>887</v>
      </c>
      <c r="E147" s="7" t="s">
        <v>888</v>
      </c>
      <c r="F147" s="7" t="s">
        <v>285</v>
      </c>
      <c r="G147" s="7" t="s">
        <v>889</v>
      </c>
      <c r="H147" s="7" t="n">
        <v>3</v>
      </c>
      <c r="I147" s="7" t="s">
        <v>78</v>
      </c>
      <c r="J147" s="7" t="s">
        <v>890</v>
      </c>
    </row>
    <row r="148" customFormat="false" ht="27.75" hidden="false" customHeight="true" outlineLevel="0" collapsed="false">
      <c r="A148" s="7" t="s">
        <v>891</v>
      </c>
      <c r="B148" s="7" t="s">
        <v>185</v>
      </c>
      <c r="C148" s="7" t="s">
        <v>186</v>
      </c>
      <c r="D148" s="7" t="s">
        <v>892</v>
      </c>
      <c r="E148" s="7" t="s">
        <v>893</v>
      </c>
      <c r="F148" s="7" t="s">
        <v>285</v>
      </c>
      <c r="G148" s="7" t="s">
        <v>894</v>
      </c>
      <c r="H148" s="7" t="n">
        <v>2</v>
      </c>
      <c r="I148" s="7" t="s">
        <v>78</v>
      </c>
      <c r="J148" s="7" t="s">
        <v>895</v>
      </c>
    </row>
    <row r="149" customFormat="false" ht="27.75" hidden="false" customHeight="true" outlineLevel="0" collapsed="false">
      <c r="A149" s="7" t="s">
        <v>896</v>
      </c>
      <c r="B149" s="7" t="s">
        <v>185</v>
      </c>
      <c r="C149" s="7" t="s">
        <v>186</v>
      </c>
      <c r="D149" s="7" t="s">
        <v>897</v>
      </c>
      <c r="E149" s="7" t="s">
        <v>898</v>
      </c>
      <c r="F149" s="7" t="s">
        <v>285</v>
      </c>
      <c r="G149" s="7" t="s">
        <v>899</v>
      </c>
      <c r="H149" s="7" t="n">
        <v>2</v>
      </c>
      <c r="I149" s="7" t="s">
        <v>78</v>
      </c>
      <c r="J149" s="7" t="s">
        <v>900</v>
      </c>
    </row>
    <row r="150" customFormat="false" ht="27.75" hidden="false" customHeight="true" outlineLevel="0" collapsed="false">
      <c r="A150" s="7" t="s">
        <v>901</v>
      </c>
      <c r="B150" s="7" t="s">
        <v>185</v>
      </c>
      <c r="C150" s="7" t="s">
        <v>186</v>
      </c>
      <c r="D150" s="7" t="s">
        <v>902</v>
      </c>
      <c r="E150" s="7" t="s">
        <v>903</v>
      </c>
      <c r="F150" s="7" t="s">
        <v>285</v>
      </c>
      <c r="G150" s="7"/>
      <c r="H150" s="7" t="n">
        <v>3</v>
      </c>
      <c r="I150" s="7" t="s">
        <v>78</v>
      </c>
      <c r="J150" s="7" t="s">
        <v>904</v>
      </c>
    </row>
    <row r="151" customFormat="false" ht="27.75" hidden="false" customHeight="true" outlineLevel="0" collapsed="false">
      <c r="A151" s="7" t="s">
        <v>905</v>
      </c>
      <c r="B151" s="7" t="s">
        <v>185</v>
      </c>
      <c r="C151" s="7" t="s">
        <v>186</v>
      </c>
      <c r="D151" s="7" t="s">
        <v>906</v>
      </c>
      <c r="E151" s="7" t="s">
        <v>907</v>
      </c>
      <c r="F151" s="7" t="s">
        <v>285</v>
      </c>
      <c r="G151" s="7"/>
      <c r="H151" s="7" t="n">
        <v>3</v>
      </c>
      <c r="I151" s="7" t="s">
        <v>78</v>
      </c>
      <c r="J151" s="7" t="s">
        <v>908</v>
      </c>
    </row>
    <row r="152" customFormat="false" ht="27.75" hidden="false" customHeight="true" outlineLevel="0" collapsed="false">
      <c r="A152" s="7" t="s">
        <v>909</v>
      </c>
      <c r="B152" s="7" t="s">
        <v>185</v>
      </c>
      <c r="C152" s="7" t="s">
        <v>186</v>
      </c>
      <c r="D152" s="7" t="s">
        <v>910</v>
      </c>
      <c r="E152" s="7" t="s">
        <v>911</v>
      </c>
      <c r="F152" s="7" t="s">
        <v>285</v>
      </c>
      <c r="G152" s="7"/>
      <c r="H152" s="7" t="n">
        <v>3</v>
      </c>
      <c r="I152" s="7" t="s">
        <v>78</v>
      </c>
      <c r="J152" s="7" t="s">
        <v>912</v>
      </c>
    </row>
    <row r="153" customFormat="false" ht="27.75" hidden="false" customHeight="true" outlineLevel="0" collapsed="false">
      <c r="A153" s="7" t="s">
        <v>913</v>
      </c>
      <c r="B153" s="7" t="s">
        <v>190</v>
      </c>
      <c r="C153" s="7" t="s">
        <v>191</v>
      </c>
      <c r="D153" s="7" t="s">
        <v>914</v>
      </c>
      <c r="E153" s="7" t="s">
        <v>915</v>
      </c>
      <c r="F153" s="7" t="s">
        <v>285</v>
      </c>
      <c r="G153" s="7" t="s">
        <v>916</v>
      </c>
      <c r="H153" s="7" t="n">
        <v>2</v>
      </c>
      <c r="I153" s="7" t="s">
        <v>78</v>
      </c>
      <c r="J153" s="7" t="s">
        <v>917</v>
      </c>
    </row>
    <row r="154" customFormat="false" ht="27.75" hidden="false" customHeight="true" outlineLevel="0" collapsed="false">
      <c r="A154" s="7" t="s">
        <v>918</v>
      </c>
      <c r="B154" s="7" t="s">
        <v>190</v>
      </c>
      <c r="C154" s="7" t="s">
        <v>191</v>
      </c>
      <c r="D154" s="7" t="s">
        <v>919</v>
      </c>
      <c r="E154" s="7" t="s">
        <v>920</v>
      </c>
      <c r="F154" s="7" t="s">
        <v>285</v>
      </c>
      <c r="G154" s="7" t="s">
        <v>921</v>
      </c>
      <c r="H154" s="7" t="n">
        <v>2</v>
      </c>
      <c r="I154" s="7" t="s">
        <v>78</v>
      </c>
      <c r="J154" s="7" t="s">
        <v>922</v>
      </c>
    </row>
    <row r="155" customFormat="false" ht="27.75" hidden="false" customHeight="true" outlineLevel="0" collapsed="false">
      <c r="A155" s="7" t="s">
        <v>923</v>
      </c>
      <c r="B155" s="7" t="s">
        <v>190</v>
      </c>
      <c r="C155" s="7" t="s">
        <v>191</v>
      </c>
      <c r="D155" s="7" t="s">
        <v>924</v>
      </c>
      <c r="E155" s="7" t="s">
        <v>925</v>
      </c>
      <c r="F155" s="7" t="s">
        <v>285</v>
      </c>
      <c r="G155" s="7"/>
      <c r="H155" s="7" t="n">
        <v>3</v>
      </c>
      <c r="I155" s="7" t="s">
        <v>78</v>
      </c>
      <c r="J155" s="7" t="s">
        <v>926</v>
      </c>
    </row>
    <row r="156" customFormat="false" ht="27.75" hidden="false" customHeight="true" outlineLevel="0" collapsed="false">
      <c r="A156" s="7" t="s">
        <v>927</v>
      </c>
      <c r="B156" s="7" t="s">
        <v>190</v>
      </c>
      <c r="C156" s="7" t="s">
        <v>191</v>
      </c>
      <c r="D156" s="7" t="s">
        <v>928</v>
      </c>
      <c r="E156" s="7" t="s">
        <v>929</v>
      </c>
      <c r="F156" s="7" t="s">
        <v>285</v>
      </c>
      <c r="G156" s="7"/>
      <c r="H156" s="7" t="n">
        <v>3</v>
      </c>
      <c r="I156" s="7" t="s">
        <v>78</v>
      </c>
      <c r="J156" s="7" t="s">
        <v>930</v>
      </c>
    </row>
    <row r="157" customFormat="false" ht="27.75" hidden="false" customHeight="true" outlineLevel="0" collapsed="false">
      <c r="A157" s="7" t="s">
        <v>931</v>
      </c>
      <c r="B157" s="7" t="s">
        <v>196</v>
      </c>
      <c r="C157" s="7" t="s">
        <v>197</v>
      </c>
      <c r="D157" s="7" t="s">
        <v>932</v>
      </c>
      <c r="E157" s="7" t="s">
        <v>933</v>
      </c>
      <c r="F157" s="7" t="s">
        <v>285</v>
      </c>
      <c r="G157" s="7" t="s">
        <v>934</v>
      </c>
      <c r="H157" s="7" t="n">
        <v>2</v>
      </c>
      <c r="I157" s="7" t="s">
        <v>78</v>
      </c>
      <c r="J157" s="7" t="s">
        <v>935</v>
      </c>
    </row>
    <row r="158" customFormat="false" ht="27.75" hidden="false" customHeight="true" outlineLevel="0" collapsed="false">
      <c r="A158" s="7" t="s">
        <v>936</v>
      </c>
      <c r="B158" s="7" t="s">
        <v>196</v>
      </c>
      <c r="C158" s="7" t="s">
        <v>197</v>
      </c>
      <c r="D158" s="7" t="s">
        <v>937</v>
      </c>
      <c r="E158" s="7" t="s">
        <v>938</v>
      </c>
      <c r="F158" s="7" t="s">
        <v>285</v>
      </c>
      <c r="G158" s="7" t="s">
        <v>939</v>
      </c>
      <c r="H158" s="7" t="n">
        <v>2</v>
      </c>
      <c r="I158" s="7" t="s">
        <v>78</v>
      </c>
      <c r="J158" s="7" t="s">
        <v>940</v>
      </c>
    </row>
    <row r="159" customFormat="false" ht="27.75" hidden="false" customHeight="true" outlineLevel="0" collapsed="false">
      <c r="A159" s="7" t="s">
        <v>941</v>
      </c>
      <c r="B159" s="7" t="s">
        <v>196</v>
      </c>
      <c r="C159" s="7" t="s">
        <v>197</v>
      </c>
      <c r="D159" s="7" t="s">
        <v>942</v>
      </c>
      <c r="E159" s="7" t="s">
        <v>943</v>
      </c>
      <c r="F159" s="7" t="s">
        <v>285</v>
      </c>
      <c r="G159" s="7"/>
      <c r="H159" s="7" t="n">
        <v>3</v>
      </c>
      <c r="I159" s="7" t="s">
        <v>78</v>
      </c>
      <c r="J159" s="7" t="s">
        <v>944</v>
      </c>
    </row>
    <row r="160" customFormat="false" ht="27.75" hidden="false" customHeight="true" outlineLevel="0" collapsed="false">
      <c r="A160" s="7" t="s">
        <v>945</v>
      </c>
      <c r="B160" s="7" t="s">
        <v>196</v>
      </c>
      <c r="C160" s="7" t="s">
        <v>197</v>
      </c>
      <c r="D160" s="7" t="s">
        <v>946</v>
      </c>
      <c r="E160" s="7" t="s">
        <v>947</v>
      </c>
      <c r="F160" s="7" t="s">
        <v>285</v>
      </c>
      <c r="G160" s="7"/>
      <c r="H160" s="7" t="n">
        <v>3</v>
      </c>
      <c r="I160" s="7" t="s">
        <v>78</v>
      </c>
      <c r="J160" s="7" t="s">
        <v>751</v>
      </c>
    </row>
    <row r="161" customFormat="false" ht="27.75" hidden="false" customHeight="true" outlineLevel="0" collapsed="false">
      <c r="A161" s="7" t="s">
        <v>948</v>
      </c>
      <c r="B161" s="7" t="s">
        <v>202</v>
      </c>
      <c r="C161" s="7" t="s">
        <v>203</v>
      </c>
      <c r="D161" s="7" t="s">
        <v>949</v>
      </c>
      <c r="E161" s="7" t="s">
        <v>950</v>
      </c>
      <c r="F161" s="7" t="s">
        <v>285</v>
      </c>
      <c r="G161" s="7" t="s">
        <v>951</v>
      </c>
      <c r="H161" s="7" t="n">
        <v>2</v>
      </c>
      <c r="I161" s="7" t="s">
        <v>78</v>
      </c>
      <c r="J161" s="7" t="s">
        <v>952</v>
      </c>
    </row>
    <row r="162" customFormat="false" ht="27.75" hidden="false" customHeight="true" outlineLevel="0" collapsed="false">
      <c r="A162" s="7" t="s">
        <v>953</v>
      </c>
      <c r="B162" s="7" t="s">
        <v>202</v>
      </c>
      <c r="C162" s="7" t="s">
        <v>203</v>
      </c>
      <c r="D162" s="7" t="s">
        <v>954</v>
      </c>
      <c r="E162" s="7" t="s">
        <v>955</v>
      </c>
      <c r="F162" s="7" t="s">
        <v>285</v>
      </c>
      <c r="G162" s="7" t="s">
        <v>956</v>
      </c>
      <c r="H162" s="7" t="n">
        <v>2</v>
      </c>
      <c r="I162" s="7" t="s">
        <v>78</v>
      </c>
      <c r="J162" s="7" t="s">
        <v>957</v>
      </c>
    </row>
    <row r="163" customFormat="false" ht="27.75" hidden="false" customHeight="true" outlineLevel="0" collapsed="false">
      <c r="A163" s="7" t="s">
        <v>958</v>
      </c>
      <c r="B163" s="7" t="s">
        <v>202</v>
      </c>
      <c r="C163" s="7" t="s">
        <v>203</v>
      </c>
      <c r="D163" s="7" t="s">
        <v>959</v>
      </c>
      <c r="E163" s="7" t="s">
        <v>960</v>
      </c>
      <c r="F163" s="7" t="s">
        <v>285</v>
      </c>
      <c r="G163" s="7" t="s">
        <v>961</v>
      </c>
      <c r="H163" s="7" t="n">
        <v>2</v>
      </c>
      <c r="I163" s="7" t="s">
        <v>78</v>
      </c>
      <c r="J163" s="7" t="s">
        <v>962</v>
      </c>
    </row>
    <row r="164" customFormat="false" ht="27.75" hidden="false" customHeight="true" outlineLevel="0" collapsed="false">
      <c r="A164" s="7" t="s">
        <v>963</v>
      </c>
      <c r="B164" s="7" t="s">
        <v>202</v>
      </c>
      <c r="C164" s="7" t="s">
        <v>203</v>
      </c>
      <c r="D164" s="7" t="s">
        <v>964</v>
      </c>
      <c r="E164" s="7" t="s">
        <v>965</v>
      </c>
      <c r="F164" s="7" t="s">
        <v>285</v>
      </c>
      <c r="G164" s="7"/>
      <c r="H164" s="7" t="n">
        <v>3</v>
      </c>
      <c r="I164" s="7" t="s">
        <v>78</v>
      </c>
      <c r="J164" s="7" t="s">
        <v>966</v>
      </c>
    </row>
    <row r="165" customFormat="false" ht="27.75" hidden="false" customHeight="true" outlineLevel="0" collapsed="false">
      <c r="A165" s="7" t="s">
        <v>967</v>
      </c>
      <c r="B165" s="7" t="s">
        <v>202</v>
      </c>
      <c r="C165" s="7" t="s">
        <v>203</v>
      </c>
      <c r="D165" s="7" t="s">
        <v>968</v>
      </c>
      <c r="E165" s="7" t="s">
        <v>969</v>
      </c>
      <c r="F165" s="7" t="s">
        <v>285</v>
      </c>
      <c r="G165" s="7" t="s">
        <v>970</v>
      </c>
      <c r="H165" s="7" t="n">
        <v>3</v>
      </c>
      <c r="I165" s="7" t="s">
        <v>78</v>
      </c>
      <c r="J165" s="7" t="s">
        <v>971</v>
      </c>
    </row>
    <row r="166" customFormat="false" ht="27.75" hidden="false" customHeight="true" outlineLevel="0" collapsed="false">
      <c r="A166" s="7" t="s">
        <v>972</v>
      </c>
      <c r="B166" s="7" t="s">
        <v>202</v>
      </c>
      <c r="C166" s="7" t="s">
        <v>203</v>
      </c>
      <c r="D166" s="7" t="s">
        <v>973</v>
      </c>
      <c r="E166" s="7" t="s">
        <v>974</v>
      </c>
      <c r="F166" s="7" t="s">
        <v>285</v>
      </c>
      <c r="G166" s="7" t="s">
        <v>975</v>
      </c>
      <c r="H166" s="7" t="n">
        <v>3</v>
      </c>
      <c r="I166" s="7" t="s">
        <v>78</v>
      </c>
      <c r="J166" s="7" t="s">
        <v>976</v>
      </c>
    </row>
    <row r="167" customFormat="false" ht="27.75" hidden="false" customHeight="true" outlineLevel="0" collapsed="false">
      <c r="A167" s="7" t="s">
        <v>977</v>
      </c>
      <c r="B167" s="7" t="s">
        <v>208</v>
      </c>
      <c r="C167" s="7" t="s">
        <v>209</v>
      </c>
      <c r="D167" s="7" t="s">
        <v>978</v>
      </c>
      <c r="E167" s="7" t="s">
        <v>979</v>
      </c>
      <c r="F167" s="7" t="s">
        <v>285</v>
      </c>
      <c r="G167" s="7"/>
      <c r="H167" s="7" t="n">
        <v>3</v>
      </c>
      <c r="I167" s="7" t="s">
        <v>78</v>
      </c>
      <c r="J167" s="7" t="s">
        <v>656</v>
      </c>
    </row>
    <row r="168" customFormat="false" ht="27.75" hidden="false" customHeight="true" outlineLevel="0" collapsed="false">
      <c r="A168" s="7" t="s">
        <v>980</v>
      </c>
      <c r="B168" s="7" t="s">
        <v>208</v>
      </c>
      <c r="C168" s="7" t="s">
        <v>209</v>
      </c>
      <c r="D168" s="7" t="s">
        <v>981</v>
      </c>
      <c r="E168" s="7" t="s">
        <v>982</v>
      </c>
      <c r="F168" s="7" t="s">
        <v>285</v>
      </c>
      <c r="G168" s="7"/>
      <c r="H168" s="7" t="n">
        <v>3</v>
      </c>
      <c r="I168" s="7" t="s">
        <v>78</v>
      </c>
      <c r="J168" s="7" t="s">
        <v>983</v>
      </c>
    </row>
    <row r="169" customFormat="false" ht="27.75" hidden="false" customHeight="true" outlineLevel="0" collapsed="false">
      <c r="A169" s="7" t="s">
        <v>984</v>
      </c>
      <c r="B169" s="7" t="s">
        <v>208</v>
      </c>
      <c r="C169" s="7" t="s">
        <v>209</v>
      </c>
      <c r="D169" s="7" t="s">
        <v>985</v>
      </c>
      <c r="E169" s="7" t="s">
        <v>986</v>
      </c>
      <c r="F169" s="7" t="s">
        <v>285</v>
      </c>
      <c r="G169" s="7"/>
      <c r="H169" s="7" t="n">
        <v>3</v>
      </c>
      <c r="I169" s="7" t="s">
        <v>78</v>
      </c>
      <c r="J169" s="7" t="s">
        <v>401</v>
      </c>
    </row>
    <row r="170" customFormat="false" ht="27.75" hidden="false" customHeight="true" outlineLevel="0" collapsed="false">
      <c r="A170" s="7" t="s">
        <v>987</v>
      </c>
      <c r="B170" s="7" t="s">
        <v>208</v>
      </c>
      <c r="C170" s="7" t="s">
        <v>209</v>
      </c>
      <c r="D170" s="7" t="s">
        <v>988</v>
      </c>
      <c r="E170" s="7" t="s">
        <v>989</v>
      </c>
      <c r="F170" s="7" t="s">
        <v>285</v>
      </c>
      <c r="G170" s="7"/>
      <c r="H170" s="7" t="n">
        <v>3</v>
      </c>
      <c r="I170" s="7" t="s">
        <v>78</v>
      </c>
      <c r="J170" s="7" t="s">
        <v>665</v>
      </c>
    </row>
    <row r="171" customFormat="false" ht="27.75" hidden="false" customHeight="true" outlineLevel="0" collapsed="false">
      <c r="A171" s="7" t="s">
        <v>990</v>
      </c>
      <c r="B171" s="7" t="s">
        <v>213</v>
      </c>
      <c r="C171" s="7" t="s">
        <v>214</v>
      </c>
      <c r="D171" s="7" t="s">
        <v>991</v>
      </c>
      <c r="E171" s="7" t="s">
        <v>992</v>
      </c>
      <c r="F171" s="7" t="s">
        <v>285</v>
      </c>
      <c r="G171" s="7"/>
      <c r="H171" s="7" t="n">
        <v>3</v>
      </c>
      <c r="I171" s="7" t="s">
        <v>78</v>
      </c>
      <c r="J171" s="7" t="s">
        <v>993</v>
      </c>
    </row>
    <row r="172" customFormat="false" ht="27.75" hidden="false" customHeight="true" outlineLevel="0" collapsed="false">
      <c r="A172" s="7" t="s">
        <v>994</v>
      </c>
      <c r="B172" s="7" t="s">
        <v>213</v>
      </c>
      <c r="C172" s="7" t="s">
        <v>214</v>
      </c>
      <c r="D172" s="7" t="s">
        <v>995</v>
      </c>
      <c r="E172" s="7" t="s">
        <v>996</v>
      </c>
      <c r="F172" s="7" t="s">
        <v>285</v>
      </c>
      <c r="G172" s="7"/>
      <c r="H172" s="7" t="n">
        <v>3</v>
      </c>
      <c r="I172" s="7" t="s">
        <v>78</v>
      </c>
      <c r="J172" s="7" t="s">
        <v>997</v>
      </c>
    </row>
    <row r="173" customFormat="false" ht="27.75" hidden="false" customHeight="true" outlineLevel="0" collapsed="false">
      <c r="A173" s="7" t="s">
        <v>998</v>
      </c>
      <c r="B173" s="7" t="s">
        <v>219</v>
      </c>
      <c r="C173" s="7" t="s">
        <v>220</v>
      </c>
      <c r="D173" s="7" t="s">
        <v>999</v>
      </c>
      <c r="E173" s="7" t="s">
        <v>1000</v>
      </c>
      <c r="F173" s="7" t="s">
        <v>285</v>
      </c>
      <c r="G173" s="7"/>
      <c r="H173" s="7" t="n">
        <v>3</v>
      </c>
      <c r="I173" s="7" t="s">
        <v>78</v>
      </c>
      <c r="J173" s="7" t="s">
        <v>1001</v>
      </c>
    </row>
    <row r="174" customFormat="false" ht="27.75" hidden="false" customHeight="true" outlineLevel="0" collapsed="false">
      <c r="A174" s="7" t="s">
        <v>1002</v>
      </c>
      <c r="B174" s="7" t="s">
        <v>219</v>
      </c>
      <c r="C174" s="7" t="s">
        <v>220</v>
      </c>
      <c r="D174" s="7" t="s">
        <v>1003</v>
      </c>
      <c r="E174" s="7" t="s">
        <v>1004</v>
      </c>
      <c r="F174" s="7" t="s">
        <v>285</v>
      </c>
      <c r="G174" s="7"/>
      <c r="H174" s="7" t="n">
        <v>3</v>
      </c>
      <c r="I174" s="7" t="s">
        <v>78</v>
      </c>
      <c r="J174" s="7" t="s">
        <v>1005</v>
      </c>
    </row>
    <row r="175" customFormat="false" ht="27.75" hidden="false" customHeight="true" outlineLevel="0" collapsed="false">
      <c r="A175" s="7" t="s">
        <v>1006</v>
      </c>
      <c r="B175" s="7" t="s">
        <v>225</v>
      </c>
      <c r="C175" s="7" t="s">
        <v>226</v>
      </c>
      <c r="D175" s="7" t="s">
        <v>1007</v>
      </c>
      <c r="E175" s="7" t="s">
        <v>1008</v>
      </c>
      <c r="F175" s="7" t="s">
        <v>285</v>
      </c>
      <c r="G175" s="7" t="s">
        <v>1009</v>
      </c>
      <c r="H175" s="7" t="n">
        <v>3</v>
      </c>
      <c r="I175" s="7" t="s">
        <v>78</v>
      </c>
      <c r="J175" s="7" t="s">
        <v>1010</v>
      </c>
    </row>
    <row r="176" customFormat="false" ht="27.75" hidden="false" customHeight="true" outlineLevel="0" collapsed="false">
      <c r="A176" s="7" t="s">
        <v>1011</v>
      </c>
      <c r="B176" s="7" t="s">
        <v>225</v>
      </c>
      <c r="C176" s="7" t="s">
        <v>226</v>
      </c>
      <c r="D176" s="7" t="s">
        <v>1012</v>
      </c>
      <c r="E176" s="7" t="s">
        <v>1013</v>
      </c>
      <c r="F176" s="7" t="s">
        <v>285</v>
      </c>
      <c r="G176" s="7" t="s">
        <v>1014</v>
      </c>
      <c r="H176" s="7" t="n">
        <v>3</v>
      </c>
      <c r="I176" s="7" t="s">
        <v>78</v>
      </c>
      <c r="J176" s="7" t="s">
        <v>401</v>
      </c>
    </row>
    <row r="177" customFormat="false" ht="27.75" hidden="false" customHeight="true" outlineLevel="0" collapsed="false">
      <c r="A177" s="7" t="s">
        <v>1015</v>
      </c>
      <c r="B177" s="7" t="s">
        <v>225</v>
      </c>
      <c r="C177" s="7" t="s">
        <v>226</v>
      </c>
      <c r="D177" s="7" t="s">
        <v>1016</v>
      </c>
      <c r="E177" s="7" t="s">
        <v>1017</v>
      </c>
      <c r="F177" s="7" t="s">
        <v>285</v>
      </c>
      <c r="G177" s="7"/>
      <c r="H177" s="7" t="n">
        <v>3</v>
      </c>
      <c r="I177" s="7" t="s">
        <v>78</v>
      </c>
      <c r="J177" s="7" t="s">
        <v>797</v>
      </c>
    </row>
    <row r="178" customFormat="false" ht="27.75" hidden="false" customHeight="true" outlineLevel="0" collapsed="false">
      <c r="A178" s="7" t="s">
        <v>1018</v>
      </c>
      <c r="B178" s="7" t="s">
        <v>231</v>
      </c>
      <c r="C178" s="7" t="s">
        <v>232</v>
      </c>
      <c r="D178" s="7" t="s">
        <v>1019</v>
      </c>
      <c r="E178" s="7" t="s">
        <v>1020</v>
      </c>
      <c r="F178" s="7" t="s">
        <v>285</v>
      </c>
      <c r="G178" s="7" t="s">
        <v>1021</v>
      </c>
      <c r="H178" s="7" t="n">
        <v>2</v>
      </c>
      <c r="I178" s="7" t="s">
        <v>78</v>
      </c>
      <c r="J178" s="7" t="s">
        <v>1022</v>
      </c>
    </row>
    <row r="179" customFormat="false" ht="27.75" hidden="false" customHeight="true" outlineLevel="0" collapsed="false">
      <c r="A179" s="7" t="s">
        <v>1023</v>
      </c>
      <c r="B179" s="7" t="s">
        <v>231</v>
      </c>
      <c r="C179" s="7" t="s">
        <v>232</v>
      </c>
      <c r="D179" s="7" t="s">
        <v>1024</v>
      </c>
      <c r="E179" s="7" t="s">
        <v>1025</v>
      </c>
      <c r="F179" s="7" t="s">
        <v>285</v>
      </c>
      <c r="G179" s="7"/>
      <c r="H179" s="7" t="n">
        <v>3</v>
      </c>
      <c r="I179" s="7" t="s">
        <v>78</v>
      </c>
      <c r="J179" s="7" t="s">
        <v>1026</v>
      </c>
    </row>
    <row r="180" customFormat="false" ht="27.75" hidden="false" customHeight="true" outlineLevel="0" collapsed="false">
      <c r="A180" s="7" t="s">
        <v>1027</v>
      </c>
      <c r="B180" s="7" t="s">
        <v>231</v>
      </c>
      <c r="C180" s="7" t="s">
        <v>232</v>
      </c>
      <c r="D180" s="7" t="s">
        <v>1028</v>
      </c>
      <c r="E180" s="7" t="s">
        <v>1029</v>
      </c>
      <c r="F180" s="7" t="s">
        <v>285</v>
      </c>
      <c r="G180" s="7" t="s">
        <v>1030</v>
      </c>
      <c r="H180" s="7" t="n">
        <v>3</v>
      </c>
      <c r="I180" s="7" t="s">
        <v>78</v>
      </c>
      <c r="J180" s="7" t="s">
        <v>1031</v>
      </c>
    </row>
    <row r="181" customFormat="false" ht="27.75" hidden="false" customHeight="true" outlineLevel="0" collapsed="false">
      <c r="A181" s="7" t="s">
        <v>1032</v>
      </c>
      <c r="B181" s="7" t="s">
        <v>238</v>
      </c>
      <c r="C181" s="7" t="s">
        <v>239</v>
      </c>
      <c r="D181" s="7" t="s">
        <v>1033</v>
      </c>
      <c r="E181" s="7" t="s">
        <v>1034</v>
      </c>
      <c r="F181" s="7" t="s">
        <v>285</v>
      </c>
      <c r="G181" s="7" t="s">
        <v>1035</v>
      </c>
      <c r="H181" s="7" t="n">
        <v>4</v>
      </c>
      <c r="I181" s="7" t="s">
        <v>78</v>
      </c>
      <c r="J181" s="7" t="s">
        <v>1036</v>
      </c>
    </row>
    <row r="182" customFormat="false" ht="27.75" hidden="false" customHeight="true" outlineLevel="0" collapsed="false">
      <c r="A182" s="7" t="s">
        <v>1037</v>
      </c>
      <c r="B182" s="7" t="s">
        <v>245</v>
      </c>
      <c r="C182" s="7" t="s">
        <v>246</v>
      </c>
      <c r="D182" s="7" t="s">
        <v>1038</v>
      </c>
      <c r="E182" s="7" t="s">
        <v>1039</v>
      </c>
      <c r="F182" s="7" t="s">
        <v>285</v>
      </c>
      <c r="G182" s="7" t="s">
        <v>1040</v>
      </c>
      <c r="H182" s="7" t="n">
        <v>4</v>
      </c>
      <c r="I182" s="7" t="s">
        <v>78</v>
      </c>
      <c r="J182" s="7" t="s">
        <v>1041</v>
      </c>
    </row>
    <row r="183" customFormat="false" ht="27.75" hidden="false" customHeight="true" outlineLevel="0" collapsed="false">
      <c r="A183" s="7" t="s">
        <v>1042</v>
      </c>
      <c r="B183" s="7" t="s">
        <v>245</v>
      </c>
      <c r="C183" s="7" t="s">
        <v>246</v>
      </c>
      <c r="D183" s="7" t="s">
        <v>1043</v>
      </c>
      <c r="E183" s="7" t="s">
        <v>1044</v>
      </c>
      <c r="F183" s="7" t="s">
        <v>285</v>
      </c>
      <c r="G183" s="7" t="s">
        <v>1045</v>
      </c>
      <c r="H183" s="7" t="n">
        <v>4</v>
      </c>
      <c r="I183" s="7" t="s">
        <v>78</v>
      </c>
      <c r="J183" s="7" t="s">
        <v>1046</v>
      </c>
    </row>
    <row r="184" customFormat="false" ht="27.75" hidden="false" customHeight="true" outlineLevel="0" collapsed="false">
      <c r="A184" s="7" t="s">
        <v>1047</v>
      </c>
      <c r="B184" s="7" t="s">
        <v>250</v>
      </c>
      <c r="C184" s="7" t="s">
        <v>251</v>
      </c>
      <c r="D184" s="7" t="s">
        <v>1048</v>
      </c>
      <c r="E184" s="7" t="s">
        <v>1049</v>
      </c>
      <c r="F184" s="7" t="s">
        <v>285</v>
      </c>
      <c r="G184" s="7" t="s">
        <v>1050</v>
      </c>
      <c r="H184" s="7" t="n">
        <v>4</v>
      </c>
      <c r="I184" s="7" t="s">
        <v>78</v>
      </c>
      <c r="J184" s="7" t="s">
        <v>1046</v>
      </c>
    </row>
    <row r="185" customFormat="false" ht="27.75" hidden="false" customHeight="true" outlineLevel="0" collapsed="false">
      <c r="A185" s="7" t="s">
        <v>1051</v>
      </c>
      <c r="B185" s="7" t="s">
        <v>250</v>
      </c>
      <c r="C185" s="7" t="s">
        <v>251</v>
      </c>
      <c r="D185" s="7" t="s">
        <v>1052</v>
      </c>
      <c r="E185" s="7" t="s">
        <v>1053</v>
      </c>
      <c r="F185" s="7" t="s">
        <v>285</v>
      </c>
      <c r="G185" s="7" t="s">
        <v>1054</v>
      </c>
      <c r="H185" s="7" t="n">
        <v>4</v>
      </c>
      <c r="I185" s="7" t="s">
        <v>78</v>
      </c>
      <c r="J185" s="7" t="s">
        <v>1055</v>
      </c>
    </row>
    <row r="186" customFormat="false" ht="27.75" hidden="false" customHeight="true" outlineLevel="0" collapsed="false">
      <c r="A186" s="7" t="s">
        <v>1056</v>
      </c>
      <c r="B186" s="7" t="s">
        <v>257</v>
      </c>
      <c r="C186" s="7" t="s">
        <v>258</v>
      </c>
      <c r="D186" s="7" t="s">
        <v>1057</v>
      </c>
      <c r="E186" s="7" t="s">
        <v>1058</v>
      </c>
      <c r="F186" s="7" t="s">
        <v>285</v>
      </c>
      <c r="G186" s="7"/>
      <c r="H186" s="7" t="n">
        <v>4</v>
      </c>
      <c r="I186" s="7" t="s">
        <v>78</v>
      </c>
      <c r="J186" s="7" t="s">
        <v>1059</v>
      </c>
    </row>
    <row r="187" customFormat="false" ht="27.75" hidden="false" customHeight="true" outlineLevel="0" collapsed="false">
      <c r="A187" s="7" t="s">
        <v>1060</v>
      </c>
      <c r="B187" s="7" t="s">
        <v>257</v>
      </c>
      <c r="C187" s="7" t="s">
        <v>258</v>
      </c>
      <c r="D187" s="7" t="s">
        <v>1061</v>
      </c>
      <c r="E187" s="7" t="s">
        <v>1062</v>
      </c>
      <c r="F187" s="7" t="s">
        <v>285</v>
      </c>
      <c r="G187" s="7" t="s">
        <v>1063</v>
      </c>
      <c r="H187" s="7" t="n">
        <v>4</v>
      </c>
      <c r="I187" s="7" t="s">
        <v>78</v>
      </c>
      <c r="J187" s="7" t="s">
        <v>1064</v>
      </c>
    </row>
  </sheetData>
  <mergeCells count="8">
    <mergeCell ref="A1:J1"/>
    <mergeCell ref="A2:J2"/>
    <mergeCell ref="A4:J4"/>
    <mergeCell ref="A5:J5"/>
    <mergeCell ref="A6:J6"/>
    <mergeCell ref="A7:J7"/>
    <mergeCell ref="A8:J8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1065</v>
      </c>
      <c r="B1" s="1"/>
      <c r="C1" s="1"/>
      <c r="D1" s="1"/>
    </row>
    <row r="2" customFormat="false" ht="18" hidden="false" customHeight="true" outlineLevel="0" collapsed="false">
      <c r="A2" s="2" t="s">
        <v>1066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13.5" hidden="false" customHeight="true" outlineLevel="0" collapsed="false">
      <c r="A5" s="4" t="s">
        <v>1067</v>
      </c>
      <c r="B5" s="4"/>
      <c r="C5" s="4"/>
      <c r="D5" s="4"/>
    </row>
    <row r="6" customFormat="false" ht="13.5" hidden="false" customHeight="true" outlineLevel="0" collapsed="false">
      <c r="A6" s="4" t="s">
        <v>1068</v>
      </c>
      <c r="B6" s="4"/>
      <c r="C6" s="4"/>
      <c r="D6" s="4"/>
    </row>
    <row r="7" customFormat="false" ht="13.5" hidden="false" customHeight="true" outlineLevel="0" collapsed="false">
      <c r="A7" s="4" t="s">
        <v>1069</v>
      </c>
      <c r="B7" s="4"/>
      <c r="C7" s="4"/>
      <c r="D7" s="4"/>
    </row>
    <row r="9" customFormat="false" ht="19.5" hidden="false" customHeight="true" outlineLevel="0" collapsed="false">
      <c r="A9" s="5" t="s">
        <v>1070</v>
      </c>
      <c r="B9" s="5"/>
      <c r="C9" s="5"/>
      <c r="D9" s="5"/>
    </row>
    <row r="10" customFormat="false" ht="19.5" hidden="false" customHeight="true" outlineLevel="0" collapsed="false">
      <c r="A10" s="6" t="s">
        <v>36</v>
      </c>
      <c r="B10" s="14" t="n">
        <f aca="false">COUNTA(tblBrands[Brand ID])</f>
        <v>31</v>
      </c>
      <c r="C10" s="8" t="s">
        <v>1071</v>
      </c>
      <c r="D10" s="8"/>
    </row>
    <row r="11" customFormat="false" ht="19.5" hidden="false" customHeight="true" outlineLevel="0" collapsed="false">
      <c r="A11" s="6" t="s">
        <v>38</v>
      </c>
      <c r="B11" s="14" t="n">
        <f aca="false">COUNTA(tblModels[Model ID])</f>
        <v>174</v>
      </c>
      <c r="C11" s="8" t="s">
        <v>1072</v>
      </c>
      <c r="D11" s="8"/>
    </row>
    <row r="12" customFormat="false" ht="19.5" hidden="false" customHeight="true" outlineLevel="0" collapsed="false">
      <c r="A12" s="6" t="s">
        <v>39</v>
      </c>
      <c r="B12" s="14" t="n">
        <f aca="false">COUNTIF(tblBrands[Status],"active")</f>
        <v>31</v>
      </c>
      <c r="C12" s="8" t="s">
        <v>1073</v>
      </c>
      <c r="D12" s="8"/>
    </row>
    <row r="13" customFormat="false" ht="19.5" hidden="false" customHeight="true" outlineLevel="0" collapsed="false">
      <c r="A13" s="6" t="s">
        <v>40</v>
      </c>
      <c r="B13" s="14" t="n">
        <f aca="false">COUNTIF(tblModels[Status],"active")</f>
        <v>174</v>
      </c>
      <c r="C13" s="8" t="s">
        <v>1074</v>
      </c>
      <c r="D13" s="8"/>
    </row>
    <row r="14" customFormat="false" ht="19.5" hidden="false" customHeight="true" outlineLevel="0" collapsed="false">
      <c r="A14" s="6" t="s">
        <v>1075</v>
      </c>
      <c r="B14" s="14" t="n">
        <f aca="false">COUNTIF(tblBrands[Status],"draft")</f>
        <v>0</v>
      </c>
      <c r="C14" s="8" t="s">
        <v>1076</v>
      </c>
      <c r="D14" s="8"/>
    </row>
    <row r="15" customFormat="false" ht="19.5" hidden="false" customHeight="true" outlineLevel="0" collapsed="false">
      <c r="A15" s="6" t="s">
        <v>1077</v>
      </c>
      <c r="B15" s="14" t="n">
        <f aca="false">COUNTIF(tblModels[Status],"draft")</f>
        <v>0</v>
      </c>
      <c r="C15" s="8" t="s">
        <v>1076</v>
      </c>
      <c r="D15" s="8"/>
    </row>
    <row r="16" customFormat="false" ht="19.5" hidden="false" customHeight="true" outlineLevel="0" collapsed="false">
      <c r="A16" s="6" t="s">
        <v>1078</v>
      </c>
      <c r="B16" s="14" t="n">
        <f aca="false">COUNTIF(tblBrands[Popularity Algeria],1)</f>
        <v>8</v>
      </c>
      <c r="C16" s="8" t="s">
        <v>1079</v>
      </c>
      <c r="D16" s="8"/>
    </row>
    <row r="17" customFormat="false" ht="19.5" hidden="false" customHeight="true" outlineLevel="0" collapsed="false">
      <c r="A17" s="6" t="s">
        <v>1080</v>
      </c>
      <c r="B17" s="14" t="n">
        <f aca="false">COUNTIF(tblModels[Popularity Algeria],1)</f>
        <v>25</v>
      </c>
      <c r="C17" s="8" t="s">
        <v>1081</v>
      </c>
      <c r="D17" s="8"/>
    </row>
    <row r="19" customFormat="false" ht="19.5" hidden="false" customHeight="true" outlineLevel="0" collapsed="false">
      <c r="A19" s="5" t="s">
        <v>1082</v>
      </c>
      <c r="B19" s="5"/>
      <c r="C19" s="5"/>
      <c r="D19" s="5"/>
    </row>
    <row r="20" customFormat="false" ht="21.75" hidden="false" customHeight="true" outlineLevel="0" collapsed="false">
      <c r="A20" s="13" t="s">
        <v>64</v>
      </c>
      <c r="B20" s="13" t="s">
        <v>1083</v>
      </c>
      <c r="C20" s="13" t="s">
        <v>40</v>
      </c>
      <c r="D20" s="13" t="s">
        <v>1084</v>
      </c>
    </row>
    <row r="21" customFormat="false" ht="19.5" hidden="false" customHeight="true" outlineLevel="0" collapsed="false">
      <c r="A21" s="15" t="str">
        <f aca="false">IFERROR(INDEX(tblBrands[Brand Name],1),"")</f>
        <v>Dacia</v>
      </c>
      <c r="B21" s="16" t="n">
        <f aca="false">IF(A21="","",COUNTIF(tblModels[Brand Name],A21))</f>
        <v>4</v>
      </c>
      <c r="C21" s="16" t="n">
        <f aca="false">IF(A21="","",COUNTIFS(tblModels[Brand Name],A21,tblModels[Status],"active"))</f>
        <v>4</v>
      </c>
      <c r="D21" s="8" t="s">
        <v>1085</v>
      </c>
    </row>
    <row r="22" customFormat="false" ht="19.5" hidden="false" customHeight="true" outlineLevel="0" collapsed="false">
      <c r="A22" s="15" t="str">
        <f aca="false">IFERROR(INDEX(tblBrands[Brand Name],2),"")</f>
        <v>Fiat</v>
      </c>
      <c r="B22" s="16" t="n">
        <f aca="false">IF(A22="","",COUNTIF(tblModels[Brand Name],A22))</f>
        <v>9</v>
      </c>
      <c r="C22" s="16" t="n">
        <f aca="false">IF(A22="","",COUNTIFS(tblModels[Brand Name],A22,tblModels[Status],"active"))</f>
        <v>9</v>
      </c>
      <c r="D22" s="8"/>
    </row>
    <row r="23" customFormat="false" ht="19.5" hidden="false" customHeight="true" outlineLevel="0" collapsed="false">
      <c r="A23" s="15" t="str">
        <f aca="false">IFERROR(INDEX(tblBrands[Brand Name],3),"")</f>
        <v>Hyundai</v>
      </c>
      <c r="B23" s="16" t="n">
        <f aca="false">IF(A23="","",COUNTIF(tblModels[Brand Name],A23))</f>
        <v>13</v>
      </c>
      <c r="C23" s="16" t="n">
        <f aca="false">IF(A23="","",COUNTIFS(tblModels[Brand Name],A23,tblModels[Status],"active"))</f>
        <v>13</v>
      </c>
      <c r="D23" s="8"/>
    </row>
    <row r="24" customFormat="false" ht="19.5" hidden="false" customHeight="true" outlineLevel="0" collapsed="false">
      <c r="A24" s="15" t="str">
        <f aca="false">IFERROR(INDEX(tblBrands[Brand Name],4),"")</f>
        <v>Kia</v>
      </c>
      <c r="B24" s="16" t="n">
        <f aca="false">IF(A24="","",COUNTIF(tblModels[Brand Name],A24))</f>
        <v>7</v>
      </c>
      <c r="C24" s="16" t="n">
        <f aca="false">IF(A24="","",COUNTIFS(tblModels[Brand Name],A24,tblModels[Status],"active"))</f>
        <v>7</v>
      </c>
      <c r="D24" s="8"/>
    </row>
    <row r="25" customFormat="false" ht="19.5" hidden="false" customHeight="true" outlineLevel="0" collapsed="false">
      <c r="A25" s="15" t="str">
        <f aca="false">IFERROR(INDEX(tblBrands[Brand Name],5),"")</f>
        <v>Peugeot</v>
      </c>
      <c r="B25" s="16" t="n">
        <f aca="false">IF(A25="","",COUNTIF(tblModels[Brand Name],A25))</f>
        <v>16</v>
      </c>
      <c r="C25" s="16" t="n">
        <f aca="false">IF(A25="","",COUNTIFS(tblModels[Brand Name],A25,tblModels[Status],"active"))</f>
        <v>16</v>
      </c>
      <c r="D25" s="8"/>
    </row>
    <row r="26" customFormat="false" ht="19.5" hidden="false" customHeight="true" outlineLevel="0" collapsed="false">
      <c r="A26" s="15" t="str">
        <f aca="false">IFERROR(INDEX(tblBrands[Brand Name],6),"")</f>
        <v>Renault</v>
      </c>
      <c r="B26" s="16" t="n">
        <f aca="false">IF(A26="","",COUNTIF(tblModels[Brand Name],A26))</f>
        <v>14</v>
      </c>
      <c r="C26" s="16" t="n">
        <f aca="false">IF(A26="","",COUNTIFS(tblModels[Brand Name],A26,tblModels[Status],"active"))</f>
        <v>14</v>
      </c>
      <c r="D26" s="8"/>
    </row>
    <row r="27" customFormat="false" ht="19.5" hidden="false" customHeight="true" outlineLevel="0" collapsed="false">
      <c r="A27" s="15" t="str">
        <f aca="false">IFERROR(INDEX(tblBrands[Brand Name],7),"")</f>
        <v>Toyota</v>
      </c>
      <c r="B27" s="16" t="n">
        <f aca="false">IF(A27="","",COUNTIF(tblModels[Brand Name],A27))</f>
        <v>9</v>
      </c>
      <c r="C27" s="16" t="n">
        <f aca="false">IF(A27="","",COUNTIFS(tblModels[Brand Name],A27,tblModels[Status],"active"))</f>
        <v>9</v>
      </c>
      <c r="D27" s="8"/>
    </row>
    <row r="28" customFormat="false" ht="19.5" hidden="false" customHeight="true" outlineLevel="0" collapsed="false">
      <c r="A28" s="15" t="str">
        <f aca="false">IFERROR(INDEX(tblBrands[Brand Name],8),"")</f>
        <v>Volkswagen</v>
      </c>
      <c r="B28" s="16" t="n">
        <f aca="false">IF(A28="","",COUNTIF(tblModels[Brand Name],A28))</f>
        <v>7</v>
      </c>
      <c r="C28" s="16" t="n">
        <f aca="false">IF(A28="","",COUNTIFS(tblModels[Brand Name],A28,tblModels[Status],"active"))</f>
        <v>7</v>
      </c>
      <c r="D28" s="8"/>
    </row>
    <row r="29" customFormat="false" ht="19.5" hidden="false" customHeight="true" outlineLevel="0" collapsed="false">
      <c r="A29" s="15" t="str">
        <f aca="false">IFERROR(INDEX(tblBrands[Brand Name],9),"")</f>
        <v>BMW</v>
      </c>
      <c r="B29" s="16" t="n">
        <f aca="false">IF(A29="","",COUNTIF(tblModels[Brand Name],A29))</f>
        <v>6</v>
      </c>
      <c r="C29" s="16" t="n">
        <f aca="false">IF(A29="","",COUNTIFS(tblModels[Brand Name],A29,tblModels[Status],"active"))</f>
        <v>6</v>
      </c>
      <c r="D29" s="8"/>
    </row>
    <row r="30" customFormat="false" ht="19.5" hidden="false" customHeight="true" outlineLevel="0" collapsed="false">
      <c r="A30" s="15" t="str">
        <f aca="false">IFERROR(INDEX(tblBrands[Brand Name],10),"")</f>
        <v>Chery</v>
      </c>
      <c r="B30" s="16" t="n">
        <f aca="false">IF(A30="","",COUNTIF(tblModels[Brand Name],A30))</f>
        <v>5</v>
      </c>
      <c r="C30" s="16" t="n">
        <f aca="false">IF(A30="","",COUNTIFS(tblModels[Brand Name],A30,tblModels[Status],"active"))</f>
        <v>5</v>
      </c>
      <c r="D30" s="8"/>
    </row>
    <row r="31" customFormat="false" ht="19.5" hidden="false" customHeight="true" outlineLevel="0" collapsed="false">
      <c r="A31" s="15" t="str">
        <f aca="false">IFERROR(INDEX(tblBrands[Brand Name],11),"")</f>
        <v>Chevrolet</v>
      </c>
      <c r="B31" s="16" t="n">
        <f aca="false">IF(A31="","",COUNTIF(tblModels[Brand Name],A31))</f>
        <v>5</v>
      </c>
      <c r="C31" s="16" t="n">
        <f aca="false">IF(A31="","",COUNTIFS(tblModels[Brand Name],A31,tblModels[Status],"active"))</f>
        <v>5</v>
      </c>
      <c r="D31" s="8"/>
    </row>
    <row r="32" customFormat="false" ht="19.5" hidden="false" customHeight="true" outlineLevel="0" collapsed="false">
      <c r="A32" s="15" t="str">
        <f aca="false">IFERROR(INDEX(tblBrands[Brand Name],12),"")</f>
        <v>Citroën</v>
      </c>
      <c r="B32" s="16" t="n">
        <f aca="false">IF(A32="","",COUNTIF(tblModels[Brand Name],A32))</f>
        <v>8</v>
      </c>
      <c r="C32" s="16" t="n">
        <f aca="false">IF(A32="","",COUNTIFS(tblModels[Brand Name],A32,tblModels[Status],"active"))</f>
        <v>8</v>
      </c>
      <c r="D32" s="8"/>
    </row>
    <row r="34" customFormat="false" ht="19.5" hidden="false" customHeight="true" outlineLevel="0" collapsed="false">
      <c r="A34" s="5" t="s">
        <v>1086</v>
      </c>
      <c r="B34" s="5"/>
      <c r="C34" s="5"/>
      <c r="D34" s="5"/>
    </row>
    <row r="35" customFormat="false" ht="15" hidden="false" customHeight="true" outlineLevel="0" collapsed="false">
      <c r="A35" s="17" t="s">
        <v>1087</v>
      </c>
      <c r="B35" s="17"/>
      <c r="C35" s="17"/>
      <c r="D35" s="17"/>
    </row>
    <row r="36" customFormat="false" ht="15" hidden="false" customHeight="true" outlineLevel="0" collapsed="false">
      <c r="A36" s="6" t="s">
        <v>1088</v>
      </c>
      <c r="B36" s="14" t="n">
        <f aca="false">COUNTIF(tblModels[Popularity Algeria],1)</f>
        <v>25</v>
      </c>
      <c r="C36" s="8" t="s">
        <v>1089</v>
      </c>
      <c r="D36" s="8"/>
    </row>
    <row r="37" customFormat="false" ht="15" hidden="false" customHeight="true" outlineLevel="0" collapsed="false">
      <c r="A37" s="6" t="s">
        <v>1090</v>
      </c>
      <c r="B37" s="14" t="str">
        <f aca="false">IFERROR(INDEX(tblModels[Model Name],MATCH(1,tblModels[Popularity Algeria],0)),"—")</f>
        <v>Logan</v>
      </c>
      <c r="C37" s="8" t="s">
        <v>1091</v>
      </c>
      <c r="D37" s="8"/>
    </row>
    <row r="39" customFormat="false" ht="19.5" hidden="false" customHeight="true" outlineLevel="0" collapsed="false">
      <c r="A39" s="5" t="s">
        <v>1092</v>
      </c>
      <c r="B39" s="5"/>
      <c r="C39" s="5"/>
      <c r="D39" s="5"/>
    </row>
    <row r="40" customFormat="false" ht="19.5" hidden="false" customHeight="true" outlineLevel="0" collapsed="false">
      <c r="A40" s="6" t="s">
        <v>1093</v>
      </c>
      <c r="B40" s="14" t="n">
        <f aca="false">COUNTIF(tblBrands[Popularity Algeria],1)</f>
        <v>8</v>
      </c>
      <c r="C40" s="8" t="s">
        <v>1094</v>
      </c>
      <c r="D40" s="8"/>
    </row>
    <row r="41" customFormat="false" ht="19.5" hidden="false" customHeight="true" outlineLevel="0" collapsed="false">
      <c r="A41" s="6" t="s">
        <v>1095</v>
      </c>
      <c r="B41" s="14" t="n">
        <f aca="false">COUNTIF(tblBrands[Popularity Algeria],2)</f>
        <v>14</v>
      </c>
      <c r="C41" s="8" t="s">
        <v>1096</v>
      </c>
      <c r="D41" s="8"/>
    </row>
    <row r="42" customFormat="false" ht="19.5" hidden="false" customHeight="true" outlineLevel="0" collapsed="false">
      <c r="A42" s="6" t="s">
        <v>1097</v>
      </c>
      <c r="B42" s="14" t="n">
        <f aca="false">COUNTIF(tblBrands[Popularity Algeria],3)</f>
        <v>5</v>
      </c>
      <c r="C42" s="8" t="s">
        <v>1098</v>
      </c>
      <c r="D42" s="8"/>
    </row>
    <row r="43" customFormat="false" ht="19.5" hidden="false" customHeight="true" outlineLevel="0" collapsed="false">
      <c r="A43" s="6" t="s">
        <v>1099</v>
      </c>
      <c r="B43" s="14" t="n">
        <f aca="false">COUNTIF(tblBrands[Popularity Algeria],4)</f>
        <v>4</v>
      </c>
      <c r="C43" s="8" t="s">
        <v>1100</v>
      </c>
      <c r="D43" s="8"/>
    </row>
    <row r="44" customFormat="false" ht="19.5" hidden="false" customHeight="true" outlineLevel="0" collapsed="false">
      <c r="A44" s="6" t="s">
        <v>1101</v>
      </c>
      <c r="B44" s="14" t="n">
        <f aca="false">COUNTIF(tblModels[Popularity Algeria],1)</f>
        <v>25</v>
      </c>
      <c r="C44" s="8" t="s">
        <v>1094</v>
      </c>
      <c r="D44" s="8"/>
    </row>
    <row r="45" customFormat="false" ht="19.5" hidden="false" customHeight="true" outlineLevel="0" collapsed="false">
      <c r="A45" s="6" t="s">
        <v>1102</v>
      </c>
      <c r="B45" s="14" t="n">
        <f aca="false">COUNTIF(tblModels[Popularity Algeria],2)</f>
        <v>75</v>
      </c>
      <c r="C45" s="8" t="s">
        <v>1096</v>
      </c>
      <c r="D45" s="8"/>
    </row>
    <row r="46" customFormat="false" ht="19.5" hidden="false" customHeight="true" outlineLevel="0" collapsed="false">
      <c r="A46" s="6" t="s">
        <v>1103</v>
      </c>
      <c r="B46" s="14" t="n">
        <f aca="false">COUNTIF(tblModels[Popularity Algeria],3)</f>
        <v>66</v>
      </c>
      <c r="C46" s="8" t="s">
        <v>1098</v>
      </c>
      <c r="D46" s="8"/>
    </row>
    <row r="47" customFormat="false" ht="19.5" hidden="false" customHeight="true" outlineLevel="0" collapsed="false">
      <c r="A47" s="6" t="s">
        <v>1104</v>
      </c>
      <c r="B47" s="14" t="n">
        <f aca="false">COUNTIF(tblModels[Popularity Algeria],4)</f>
        <v>8</v>
      </c>
      <c r="C47" s="8" t="s">
        <v>1100</v>
      </c>
      <c r="D47" s="8"/>
    </row>
    <row r="48" customFormat="false" ht="19.5" hidden="false" customHeight="true" outlineLevel="0" collapsed="false">
      <c r="A48" s="6" t="s">
        <v>1105</v>
      </c>
      <c r="B48" s="14" t="n">
        <f aca="false">SUMPRODUCT(--(COUNTIF(tblModels[Brand ID],tblBrands[Brand ID])&gt;0))</f>
        <v>31</v>
      </c>
      <c r="C48" s="8" t="s">
        <v>1106</v>
      </c>
      <c r="D48" s="8"/>
    </row>
    <row r="49" customFormat="false" ht="19.5" hidden="false" customHeight="true" outlineLevel="0" collapsed="false">
      <c r="A49" s="6" t="s">
        <v>1107</v>
      </c>
      <c r="B49" s="14" t="n">
        <f aca="false">ROUND(COUNTA(tblModels[Model ID])/COUNTA(tblBrands[Brand ID]),1)</f>
        <v>5.6</v>
      </c>
      <c r="C49" s="8" t="s">
        <v>1108</v>
      </c>
      <c r="D49" s="8"/>
    </row>
  </sheetData>
  <mergeCells count="31">
    <mergeCell ref="A1:D1"/>
    <mergeCell ref="A2:D2"/>
    <mergeCell ref="A4:D4"/>
    <mergeCell ref="A5:D5"/>
    <mergeCell ref="A6:D6"/>
    <mergeCell ref="A7:D7"/>
    <mergeCell ref="A9:D9"/>
    <mergeCell ref="C10:D10"/>
    <mergeCell ref="C11:D11"/>
    <mergeCell ref="C12:D12"/>
    <mergeCell ref="C13:D13"/>
    <mergeCell ref="C14:D14"/>
    <mergeCell ref="C15:D15"/>
    <mergeCell ref="C16:D16"/>
    <mergeCell ref="C17:D17"/>
    <mergeCell ref="A19:D19"/>
    <mergeCell ref="A34:D34"/>
    <mergeCell ref="A35:D35"/>
    <mergeCell ref="C36:D36"/>
    <mergeCell ref="C37:D37"/>
    <mergeCell ref="A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1109</v>
      </c>
      <c r="B1" s="1"/>
      <c r="C1" s="1"/>
      <c r="D1" s="1"/>
    </row>
    <row r="2" customFormat="false" ht="18" hidden="false" customHeight="true" outlineLevel="0" collapsed="false">
      <c r="A2" s="2" t="s">
        <v>1110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1111</v>
      </c>
      <c r="B5" s="4"/>
      <c r="C5" s="4"/>
      <c r="D5" s="4"/>
    </row>
    <row r="6" customFormat="false" ht="13.5" hidden="false" customHeight="true" outlineLevel="0" collapsed="false">
      <c r="A6" s="4" t="s">
        <v>1112</v>
      </c>
      <c r="B6" s="4"/>
      <c r="C6" s="4"/>
      <c r="D6" s="4"/>
    </row>
    <row r="7" customFormat="false" ht="13.5" hidden="false" customHeight="true" outlineLevel="0" collapsed="false">
      <c r="A7" s="4" t="s">
        <v>1113</v>
      </c>
      <c r="B7" s="4"/>
      <c r="C7" s="4"/>
      <c r="D7" s="4"/>
    </row>
    <row r="9" customFormat="false" ht="19.5" hidden="false" customHeight="true" outlineLevel="0" collapsed="false">
      <c r="A9" s="5" t="s">
        <v>1114</v>
      </c>
      <c r="B9" s="5"/>
      <c r="C9" s="5"/>
      <c r="D9" s="5"/>
    </row>
    <row r="10" customFormat="false" ht="25.5" hidden="false" customHeight="true" outlineLevel="0" collapsed="false">
      <c r="A10" s="18" t="s">
        <v>1115</v>
      </c>
      <c r="B10" s="19" t="s">
        <v>1116</v>
      </c>
      <c r="C10" s="19"/>
      <c r="D10" s="19"/>
    </row>
    <row r="11" customFormat="false" ht="15.75" hidden="false" customHeight="true" outlineLevel="0" collapsed="false">
      <c r="A11" s="20" t="s">
        <v>1117</v>
      </c>
      <c r="B11" s="20"/>
      <c r="C11" s="20"/>
      <c r="D11" s="20"/>
    </row>
    <row r="12" customFormat="false" ht="25.5" hidden="false" customHeight="true" outlineLevel="0" collapsed="false">
      <c r="A12" s="18" t="s">
        <v>1118</v>
      </c>
      <c r="B12" s="19" t="s">
        <v>1119</v>
      </c>
      <c r="C12" s="19"/>
      <c r="D12" s="19"/>
    </row>
    <row r="13" customFormat="false" ht="15.75" hidden="false" customHeight="true" outlineLevel="0" collapsed="false">
      <c r="A13" s="20" t="s">
        <v>1117</v>
      </c>
      <c r="B13" s="20"/>
      <c r="C13" s="20"/>
      <c r="D13" s="20"/>
    </row>
    <row r="14" customFormat="false" ht="25.5" hidden="false" customHeight="true" outlineLevel="0" collapsed="false">
      <c r="A14" s="18" t="s">
        <v>1120</v>
      </c>
      <c r="B14" s="19" t="s">
        <v>1121</v>
      </c>
      <c r="C14" s="19"/>
      <c r="D14" s="19"/>
    </row>
    <row r="16" customFormat="false" ht="19.5" hidden="false" customHeight="true" outlineLevel="0" collapsed="false">
      <c r="A16" s="5" t="s">
        <v>1122</v>
      </c>
      <c r="B16" s="5"/>
      <c r="C16" s="5"/>
      <c r="D16" s="5"/>
    </row>
    <row r="17" customFormat="false" ht="18" hidden="false" customHeight="true" outlineLevel="0" collapsed="false">
      <c r="A17" s="21" t="s">
        <v>285</v>
      </c>
      <c r="B17" s="21"/>
      <c r="C17" s="22" t="s">
        <v>1123</v>
      </c>
      <c r="D17" s="22"/>
    </row>
    <row r="18" customFormat="false" ht="18" hidden="false" customHeight="true" outlineLevel="0" collapsed="false">
      <c r="A18" s="23" t="s">
        <v>1124</v>
      </c>
      <c r="B18" s="23"/>
      <c r="C18" s="22" t="s">
        <v>1125</v>
      </c>
      <c r="D18" s="22"/>
    </row>
    <row r="19" customFormat="false" ht="18" hidden="false" customHeight="true" outlineLevel="0" collapsed="false">
      <c r="A19" s="24" t="s">
        <v>1126</v>
      </c>
      <c r="B19" s="24"/>
      <c r="C19" s="22" t="s">
        <v>1127</v>
      </c>
      <c r="D19" s="22"/>
    </row>
    <row r="20" customFormat="false" ht="18" hidden="false" customHeight="true" outlineLevel="0" collapsed="false">
      <c r="A20" s="24" t="s">
        <v>1128</v>
      </c>
      <c r="B20" s="24"/>
      <c r="C20" s="22" t="s">
        <v>1129</v>
      </c>
      <c r="D20" s="22"/>
    </row>
    <row r="21" customFormat="false" ht="18" hidden="false" customHeight="true" outlineLevel="0" collapsed="false">
      <c r="A21" s="23" t="s">
        <v>1130</v>
      </c>
      <c r="B21" s="23"/>
      <c r="C21" s="22" t="s">
        <v>1131</v>
      </c>
      <c r="D21" s="22"/>
    </row>
    <row r="22" customFormat="false" ht="18" hidden="false" customHeight="true" outlineLevel="0" collapsed="false">
      <c r="A22" s="24" t="s">
        <v>1132</v>
      </c>
      <c r="B22" s="24"/>
      <c r="C22" s="22" t="s">
        <v>1133</v>
      </c>
      <c r="D22" s="22"/>
    </row>
    <row r="23" customFormat="false" ht="18" hidden="false" customHeight="true" outlineLevel="0" collapsed="false">
      <c r="A23" s="24" t="s">
        <v>1134</v>
      </c>
      <c r="B23" s="24"/>
      <c r="C23" s="22" t="s">
        <v>1135</v>
      </c>
      <c r="D23" s="22"/>
    </row>
    <row r="24" customFormat="false" ht="18" hidden="false" customHeight="true" outlineLevel="0" collapsed="false">
      <c r="A24" s="23" t="s">
        <v>1136</v>
      </c>
      <c r="B24" s="23"/>
      <c r="C24" s="22" t="s">
        <v>1137</v>
      </c>
      <c r="D24" s="22"/>
    </row>
    <row r="25" customFormat="false" ht="18" hidden="false" customHeight="true" outlineLevel="0" collapsed="false">
      <c r="A25" s="24" t="s">
        <v>1138</v>
      </c>
      <c r="B25" s="24"/>
      <c r="C25" s="22" t="s">
        <v>1139</v>
      </c>
      <c r="D25" s="22"/>
    </row>
  </sheetData>
  <mergeCells count="31">
    <mergeCell ref="A1:D1"/>
    <mergeCell ref="A2:D2"/>
    <mergeCell ref="A4:D4"/>
    <mergeCell ref="A5:D5"/>
    <mergeCell ref="A6:D6"/>
    <mergeCell ref="A7:D7"/>
    <mergeCell ref="A9:D9"/>
    <mergeCell ref="B10:D10"/>
    <mergeCell ref="A11:D11"/>
    <mergeCell ref="B12:D12"/>
    <mergeCell ref="A13:D13"/>
    <mergeCell ref="B14:D14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0"/>
    <col collapsed="false" customWidth="true" hidden="false" outlineLevel="0" max="6" min="6" style="0" width="44"/>
  </cols>
  <sheetData>
    <row r="1" customFormat="false" ht="30" hidden="false" customHeight="true" outlineLevel="0" collapsed="false">
      <c r="A1" s="1" t="s">
        <v>1140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1141</v>
      </c>
      <c r="B2" s="2"/>
      <c r="C2" s="2"/>
      <c r="D2" s="2"/>
      <c r="E2" s="2"/>
      <c r="F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3.5" hidden="false" customHeight="true" outlineLevel="0" collapsed="false">
      <c r="A5" s="4" t="s">
        <v>1142</v>
      </c>
      <c r="B5" s="4"/>
      <c r="C5" s="4"/>
      <c r="D5" s="4"/>
      <c r="E5" s="4"/>
      <c r="F5" s="4"/>
    </row>
    <row r="6" customFormat="false" ht="25.5" hidden="false" customHeight="true" outlineLevel="0" collapsed="false">
      <c r="A6" s="4" t="s">
        <v>1143</v>
      </c>
      <c r="B6" s="4"/>
      <c r="C6" s="4"/>
      <c r="D6" s="4"/>
      <c r="E6" s="4"/>
      <c r="F6" s="4"/>
    </row>
    <row r="7" customFormat="false" ht="13.5" hidden="false" customHeight="true" outlineLevel="0" collapsed="false">
      <c r="A7" s="4" t="s">
        <v>1144</v>
      </c>
      <c r="B7" s="4"/>
      <c r="C7" s="4"/>
      <c r="D7" s="4"/>
      <c r="E7" s="4"/>
      <c r="F7" s="4"/>
    </row>
    <row r="9" customFormat="false" ht="15" hidden="false" customHeight="false" outlineLevel="0" collapsed="false">
      <c r="A9" s="11" t="s">
        <v>53</v>
      </c>
    </row>
    <row r="10" customFormat="false" ht="48" hidden="false" customHeight="true" outlineLevel="0" collapsed="false">
      <c r="A10" s="12" t="s">
        <v>1145</v>
      </c>
      <c r="B10" s="12" t="s">
        <v>1146</v>
      </c>
      <c r="C10" s="12" t="s">
        <v>1147</v>
      </c>
      <c r="D10" s="12" t="s">
        <v>1148</v>
      </c>
      <c r="E10" s="12" t="s">
        <v>1149</v>
      </c>
      <c r="F10" s="12" t="s">
        <v>1150</v>
      </c>
    </row>
    <row r="11" customFormat="false" ht="25.5" hidden="false" customHeight="true" outlineLevel="0" collapsed="false">
      <c r="A11" s="13" t="s">
        <v>1151</v>
      </c>
      <c r="B11" s="13" t="s">
        <v>1152</v>
      </c>
      <c r="C11" s="13" t="s">
        <v>1153</v>
      </c>
      <c r="D11" s="13" t="s">
        <v>1154</v>
      </c>
      <c r="E11" s="13" t="s">
        <v>1155</v>
      </c>
      <c r="F11" s="13" t="s">
        <v>1156</v>
      </c>
    </row>
    <row r="12" customFormat="false" ht="19.5" hidden="false" customHeight="true" outlineLevel="0" collapsed="false">
      <c r="A12" s="7" t="s">
        <v>1157</v>
      </c>
      <c r="B12" s="7" t="s">
        <v>11</v>
      </c>
      <c r="C12" s="7" t="s">
        <v>1158</v>
      </c>
      <c r="D12" s="7" t="s">
        <v>1159</v>
      </c>
      <c r="E12" s="7" t="s">
        <v>1160</v>
      </c>
      <c r="F12" s="7" t="s">
        <v>1161</v>
      </c>
    </row>
    <row r="13" customFormat="false" ht="19.5" hidden="false" customHeight="true" outlineLevel="0" collapsed="false">
      <c r="A13" s="7" t="s">
        <v>1157</v>
      </c>
      <c r="B13" s="7" t="s">
        <v>1162</v>
      </c>
      <c r="C13" s="7" t="s">
        <v>1158</v>
      </c>
      <c r="D13" s="7" t="s">
        <v>1163</v>
      </c>
      <c r="E13" s="7" t="s">
        <v>1160</v>
      </c>
      <c r="F13" s="7" t="s">
        <v>1164</v>
      </c>
    </row>
    <row r="14" customFormat="false" ht="19.5" hidden="false" customHeight="true" outlineLevel="0" collapsed="false">
      <c r="A14" s="7" t="s">
        <v>1165</v>
      </c>
      <c r="B14" s="7" t="s">
        <v>1166</v>
      </c>
      <c r="C14" s="7" t="s">
        <v>1158</v>
      </c>
      <c r="D14" s="7" t="s">
        <v>1167</v>
      </c>
      <c r="E14" s="7" t="s">
        <v>1168</v>
      </c>
      <c r="F14" s="7" t="s">
        <v>1169</v>
      </c>
    </row>
    <row r="15" customFormat="false" ht="19.5" hidden="false" customHeight="true" outlineLevel="0" collapsed="false">
      <c r="A15" s="7" t="s">
        <v>1165</v>
      </c>
      <c r="B15" s="7" t="s">
        <v>1166</v>
      </c>
      <c r="C15" s="7" t="s">
        <v>1170</v>
      </c>
      <c r="D15" s="7" t="s">
        <v>1167</v>
      </c>
      <c r="E15" s="7" t="s">
        <v>1168</v>
      </c>
      <c r="F15" s="7" t="s">
        <v>1169</v>
      </c>
    </row>
    <row r="16" customFormat="false" ht="19.5" hidden="false" customHeight="true" outlineLevel="0" collapsed="false">
      <c r="A16" s="7" t="s">
        <v>47</v>
      </c>
      <c r="B16" s="7" t="s">
        <v>63</v>
      </c>
      <c r="C16" s="7" t="s">
        <v>1170</v>
      </c>
      <c r="D16" s="7" t="s">
        <v>1171</v>
      </c>
      <c r="E16" s="7" t="s">
        <v>1160</v>
      </c>
      <c r="F16" s="7" t="s">
        <v>1172</v>
      </c>
    </row>
    <row r="17" customFormat="false" ht="19.5" hidden="false" customHeight="true" outlineLevel="0" collapsed="false">
      <c r="A17" s="7" t="s">
        <v>47</v>
      </c>
      <c r="B17" s="7" t="s">
        <v>64</v>
      </c>
      <c r="C17" s="7" t="s">
        <v>1170</v>
      </c>
      <c r="D17" s="7" t="s">
        <v>1159</v>
      </c>
      <c r="E17" s="7" t="s">
        <v>1160</v>
      </c>
      <c r="F17" s="7" t="s">
        <v>1173</v>
      </c>
    </row>
    <row r="18" customFormat="false" ht="19.5" hidden="false" customHeight="true" outlineLevel="0" collapsed="false">
      <c r="A18" s="7" t="s">
        <v>47</v>
      </c>
      <c r="B18" s="7" t="s">
        <v>65</v>
      </c>
      <c r="C18" s="7" t="s">
        <v>1170</v>
      </c>
      <c r="D18" s="7" t="s">
        <v>1163</v>
      </c>
      <c r="E18" s="7" t="s">
        <v>1160</v>
      </c>
      <c r="F18" s="7" t="s">
        <v>1174</v>
      </c>
    </row>
    <row r="19" customFormat="false" ht="19.5" hidden="false" customHeight="true" outlineLevel="0" collapsed="false">
      <c r="A19" s="7" t="s">
        <v>47</v>
      </c>
      <c r="B19" s="7" t="s">
        <v>66</v>
      </c>
      <c r="C19" s="7" t="s">
        <v>1170</v>
      </c>
      <c r="D19" s="7" t="s">
        <v>1175</v>
      </c>
      <c r="E19" s="7" t="s">
        <v>1160</v>
      </c>
      <c r="F19" s="7" t="s">
        <v>1176</v>
      </c>
    </row>
    <row r="20" customFormat="false" ht="19.5" hidden="false" customHeight="true" outlineLevel="0" collapsed="false">
      <c r="A20" s="7" t="s">
        <v>47</v>
      </c>
      <c r="B20" s="7" t="s">
        <v>67</v>
      </c>
      <c r="C20" s="7" t="s">
        <v>1170</v>
      </c>
      <c r="D20" s="7" t="s">
        <v>1177</v>
      </c>
      <c r="E20" s="7" t="s">
        <v>1160</v>
      </c>
      <c r="F20" s="7" t="s">
        <v>1178</v>
      </c>
    </row>
    <row r="21" customFormat="false" ht="19.5" hidden="false" customHeight="true" outlineLevel="0" collapsed="false">
      <c r="A21" s="7" t="s">
        <v>47</v>
      </c>
      <c r="B21" s="7" t="s">
        <v>68</v>
      </c>
      <c r="C21" s="7" t="s">
        <v>1170</v>
      </c>
      <c r="D21" s="7" t="s">
        <v>1179</v>
      </c>
      <c r="E21" s="7" t="s">
        <v>1180</v>
      </c>
      <c r="F21" s="7" t="s">
        <v>1181</v>
      </c>
    </row>
    <row r="22" customFormat="false" ht="19.5" hidden="false" customHeight="true" outlineLevel="0" collapsed="false">
      <c r="A22" s="7" t="s">
        <v>47</v>
      </c>
      <c r="B22" s="7" t="s">
        <v>69</v>
      </c>
      <c r="C22" s="7" t="s">
        <v>1170</v>
      </c>
      <c r="D22" s="7" t="s">
        <v>1182</v>
      </c>
      <c r="E22" s="7" t="s">
        <v>1183</v>
      </c>
      <c r="F22" s="7" t="s">
        <v>1184</v>
      </c>
    </row>
    <row r="23" customFormat="false" ht="19.5" hidden="false" customHeight="true" outlineLevel="0" collapsed="false">
      <c r="A23" s="7" t="s">
        <v>47</v>
      </c>
      <c r="B23" s="7" t="s">
        <v>70</v>
      </c>
      <c r="C23" s="7" t="s">
        <v>1170</v>
      </c>
      <c r="D23" s="7" t="s">
        <v>1185</v>
      </c>
      <c r="E23" s="7" t="s">
        <v>1160</v>
      </c>
      <c r="F23" s="7" t="s">
        <v>1186</v>
      </c>
    </row>
    <row r="24" customFormat="false" ht="19.5" hidden="false" customHeight="true" outlineLevel="0" collapsed="false">
      <c r="A24" s="7" t="s">
        <v>47</v>
      </c>
      <c r="B24" s="7" t="s">
        <v>71</v>
      </c>
      <c r="C24" s="7" t="s">
        <v>1170</v>
      </c>
      <c r="D24" s="7" t="s">
        <v>1187</v>
      </c>
      <c r="E24" s="7" t="s">
        <v>1160</v>
      </c>
      <c r="F24" s="7" t="s">
        <v>1178</v>
      </c>
    </row>
    <row r="25" customFormat="false" ht="19.5" hidden="false" customHeight="true" outlineLevel="0" collapsed="false">
      <c r="A25" s="7" t="s">
        <v>1165</v>
      </c>
      <c r="B25" s="7" t="s">
        <v>1188</v>
      </c>
      <c r="C25" s="7" t="s">
        <v>1170</v>
      </c>
      <c r="D25" s="7" t="s">
        <v>1189</v>
      </c>
      <c r="E25" s="7" t="s">
        <v>1190</v>
      </c>
      <c r="F25" s="7" t="s">
        <v>1191</v>
      </c>
    </row>
    <row r="26" customFormat="false" ht="19.5" hidden="false" customHeight="true" outlineLevel="0" collapsed="false">
      <c r="A26" s="7" t="s">
        <v>1165</v>
      </c>
      <c r="B26" s="7" t="s">
        <v>1166</v>
      </c>
      <c r="C26" s="7" t="s">
        <v>1192</v>
      </c>
      <c r="D26" s="7" t="s">
        <v>1167</v>
      </c>
      <c r="E26" s="7" t="s">
        <v>1168</v>
      </c>
      <c r="F26" s="7" t="s">
        <v>1169</v>
      </c>
    </row>
    <row r="27" customFormat="false" ht="19.5" hidden="false" customHeight="true" outlineLevel="0" collapsed="false">
      <c r="A27" s="7" t="s">
        <v>263</v>
      </c>
      <c r="B27" s="7" t="s">
        <v>279</v>
      </c>
      <c r="C27" s="7" t="s">
        <v>1192</v>
      </c>
      <c r="D27" s="7" t="s">
        <v>1171</v>
      </c>
      <c r="E27" s="7" t="s">
        <v>1160</v>
      </c>
      <c r="F27" s="7" t="s">
        <v>1193</v>
      </c>
    </row>
    <row r="28" customFormat="false" ht="19.5" hidden="false" customHeight="true" outlineLevel="0" collapsed="false">
      <c r="A28" s="7" t="s">
        <v>263</v>
      </c>
      <c r="B28" s="7" t="s">
        <v>63</v>
      </c>
      <c r="C28" s="7" t="s">
        <v>1192</v>
      </c>
      <c r="D28" s="7" t="s">
        <v>1194</v>
      </c>
      <c r="E28" s="7" t="s">
        <v>1190</v>
      </c>
      <c r="F28" s="7" t="s">
        <v>1195</v>
      </c>
    </row>
    <row r="29" customFormat="false" ht="19.5" hidden="false" customHeight="true" outlineLevel="0" collapsed="false">
      <c r="A29" s="7" t="s">
        <v>263</v>
      </c>
      <c r="B29" s="7" t="s">
        <v>280</v>
      </c>
      <c r="C29" s="7" t="s">
        <v>1192</v>
      </c>
      <c r="D29" s="7" t="s">
        <v>1159</v>
      </c>
      <c r="E29" s="7" t="s">
        <v>1160</v>
      </c>
      <c r="F29" s="7" t="s">
        <v>1196</v>
      </c>
    </row>
    <row r="30" customFormat="false" ht="19.5" hidden="false" customHeight="true" outlineLevel="0" collapsed="false">
      <c r="A30" s="7" t="s">
        <v>263</v>
      </c>
      <c r="B30" s="7" t="s">
        <v>65</v>
      </c>
      <c r="C30" s="7" t="s">
        <v>1192</v>
      </c>
      <c r="D30" s="7" t="s">
        <v>1163</v>
      </c>
      <c r="E30" s="7" t="s">
        <v>1160</v>
      </c>
      <c r="F30" s="7" t="s">
        <v>1197</v>
      </c>
    </row>
    <row r="31" customFormat="false" ht="19.5" hidden="false" customHeight="true" outlineLevel="0" collapsed="false">
      <c r="A31" s="7" t="s">
        <v>263</v>
      </c>
      <c r="B31" s="7" t="s">
        <v>281</v>
      </c>
      <c r="C31" s="7" t="s">
        <v>1192</v>
      </c>
      <c r="D31" s="7" t="s">
        <v>1198</v>
      </c>
      <c r="E31" s="7" t="s">
        <v>1160</v>
      </c>
      <c r="F31" s="7" t="s">
        <v>1199</v>
      </c>
    </row>
    <row r="32" customFormat="false" ht="19.5" hidden="false" customHeight="true" outlineLevel="0" collapsed="false">
      <c r="A32" s="7" t="s">
        <v>263</v>
      </c>
      <c r="B32" s="7" t="s">
        <v>68</v>
      </c>
      <c r="C32" s="7" t="s">
        <v>1192</v>
      </c>
      <c r="D32" s="7" t="s">
        <v>1179</v>
      </c>
      <c r="E32" s="7" t="s">
        <v>1180</v>
      </c>
      <c r="F32" s="7" t="s">
        <v>1200</v>
      </c>
    </row>
    <row r="33" customFormat="false" ht="19.5" hidden="false" customHeight="true" outlineLevel="0" collapsed="false">
      <c r="A33" s="7" t="s">
        <v>263</v>
      </c>
      <c r="B33" s="7" t="s">
        <v>69</v>
      </c>
      <c r="C33" s="7" t="s">
        <v>1192</v>
      </c>
      <c r="D33" s="7" t="s">
        <v>1182</v>
      </c>
      <c r="E33" s="7" t="s">
        <v>1183</v>
      </c>
      <c r="F33" s="7" t="s">
        <v>1184</v>
      </c>
    </row>
    <row r="34" customFormat="false" ht="19.5" hidden="false" customHeight="true" outlineLevel="0" collapsed="false">
      <c r="A34" s="7" t="s">
        <v>263</v>
      </c>
      <c r="B34" s="7" t="s">
        <v>70</v>
      </c>
      <c r="C34" s="7" t="s">
        <v>1192</v>
      </c>
      <c r="D34" s="7" t="s">
        <v>1185</v>
      </c>
      <c r="E34" s="7" t="s">
        <v>1160</v>
      </c>
      <c r="F34" s="7" t="s">
        <v>1186</v>
      </c>
    </row>
    <row r="35" customFormat="false" ht="19.5" hidden="false" customHeight="true" outlineLevel="0" collapsed="false">
      <c r="A35" s="7" t="s">
        <v>263</v>
      </c>
      <c r="B35" s="7" t="s">
        <v>71</v>
      </c>
      <c r="C35" s="7" t="s">
        <v>1192</v>
      </c>
      <c r="D35" s="7" t="s">
        <v>1187</v>
      </c>
      <c r="E35" s="7" t="s">
        <v>1160</v>
      </c>
      <c r="F35" s="7" t="s">
        <v>1178</v>
      </c>
    </row>
    <row r="36" customFormat="false" ht="19.5" hidden="false" customHeight="true" outlineLevel="0" collapsed="false">
      <c r="A36" s="7" t="s">
        <v>263</v>
      </c>
      <c r="B36" s="7" t="s">
        <v>64</v>
      </c>
      <c r="C36" s="7" t="s">
        <v>1192</v>
      </c>
      <c r="D36" s="7" t="s">
        <v>1201</v>
      </c>
      <c r="E36" s="7" t="s">
        <v>1165</v>
      </c>
      <c r="F36" s="7" t="s">
        <v>1202</v>
      </c>
    </row>
  </sheetData>
  <mergeCells count="6">
    <mergeCell ref="A1:F1"/>
    <mergeCell ref="A2:F2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1203</v>
      </c>
      <c r="B1" s="1"/>
      <c r="C1" s="1"/>
    </row>
    <row r="2" customFormat="false" ht="18" hidden="false" customHeight="true" outlineLevel="0" collapsed="false">
      <c r="A2" s="2" t="s">
        <v>1204</v>
      </c>
      <c r="B2" s="2"/>
      <c r="C2" s="2"/>
    </row>
    <row r="4" customFormat="false" ht="13.5" hidden="false" customHeight="true" outlineLevel="0" collapsed="false">
      <c r="A4" s="3" t="s">
        <v>2</v>
      </c>
      <c r="B4" s="3"/>
      <c r="C4" s="3"/>
    </row>
    <row r="5" customFormat="false" ht="13.5" hidden="false" customHeight="true" outlineLevel="0" collapsed="false">
      <c r="A5" s="4" t="s">
        <v>1205</v>
      </c>
      <c r="B5" s="4"/>
      <c r="C5" s="4"/>
    </row>
    <row r="6" customFormat="false" ht="13.5" hidden="false" customHeight="true" outlineLevel="0" collapsed="false">
      <c r="A6" s="4" t="s">
        <v>1206</v>
      </c>
      <c r="B6" s="4"/>
      <c r="C6" s="4"/>
    </row>
    <row r="8" customFormat="false" ht="19.5" hidden="false" customHeight="true" outlineLevel="0" collapsed="false">
      <c r="A8" s="5" t="s">
        <v>1207</v>
      </c>
      <c r="B8" s="5"/>
      <c r="C8" s="5"/>
    </row>
    <row r="9" customFormat="false" ht="21.75" hidden="false" customHeight="true" outlineLevel="0" collapsed="false">
      <c r="A9" s="13" t="s">
        <v>1208</v>
      </c>
      <c r="B9" s="13" t="s">
        <v>1209</v>
      </c>
      <c r="C9" s="13" t="s">
        <v>1210</v>
      </c>
    </row>
    <row r="10" customFormat="false" ht="18" hidden="false" customHeight="true" outlineLevel="0" collapsed="false">
      <c r="A10" s="25" t="s">
        <v>47</v>
      </c>
      <c r="B10" s="25" t="s">
        <v>1211</v>
      </c>
      <c r="C10" s="25" t="s">
        <v>1212</v>
      </c>
    </row>
    <row r="11" customFormat="false" ht="25.5" hidden="false" customHeight="true" outlineLevel="0" collapsed="false">
      <c r="A11" s="25" t="s">
        <v>263</v>
      </c>
      <c r="B11" s="25" t="s">
        <v>1213</v>
      </c>
      <c r="C11" s="25" t="s">
        <v>1214</v>
      </c>
    </row>
    <row r="12" customFormat="false" ht="18" hidden="false" customHeight="true" outlineLevel="0" collapsed="false">
      <c r="A12" s="25" t="s">
        <v>1157</v>
      </c>
      <c r="B12" s="25" t="s">
        <v>1215</v>
      </c>
      <c r="C12" s="25" t="s">
        <v>1216</v>
      </c>
    </row>
    <row r="14" customFormat="false" ht="19.5" hidden="false" customHeight="true" outlineLevel="0" collapsed="false">
      <c r="A14" s="5" t="s">
        <v>1217</v>
      </c>
      <c r="B14" s="5"/>
      <c r="C14" s="5"/>
    </row>
    <row r="15" customFormat="false" ht="21.75" hidden="false" customHeight="true" outlineLevel="0" collapsed="false">
      <c r="A15" s="13" t="s">
        <v>1208</v>
      </c>
      <c r="B15" s="13" t="s">
        <v>1218</v>
      </c>
      <c r="C15" s="13" t="s">
        <v>1219</v>
      </c>
    </row>
    <row r="16" customFormat="false" ht="18" hidden="false" customHeight="true" outlineLevel="0" collapsed="false">
      <c r="A16" s="25" t="s">
        <v>47</v>
      </c>
      <c r="B16" s="25" t="s">
        <v>1220</v>
      </c>
      <c r="C16" s="25" t="s">
        <v>1221</v>
      </c>
    </row>
    <row r="17" customFormat="false" ht="18" hidden="false" customHeight="true" outlineLevel="0" collapsed="false">
      <c r="A17" s="25" t="s">
        <v>263</v>
      </c>
      <c r="B17" s="25" t="s">
        <v>1222</v>
      </c>
      <c r="C17" s="25" t="s">
        <v>1223</v>
      </c>
    </row>
    <row r="19" customFormat="false" ht="19.5" hidden="false" customHeight="true" outlineLevel="0" collapsed="false">
      <c r="A19" s="5" t="s">
        <v>1224</v>
      </c>
      <c r="B19" s="5"/>
      <c r="C19" s="5"/>
    </row>
    <row r="20" customFormat="false" ht="21.75" hidden="false" customHeight="true" outlineLevel="0" collapsed="false">
      <c r="A20" s="13" t="s">
        <v>23</v>
      </c>
      <c r="B20" s="13" t="s">
        <v>1225</v>
      </c>
      <c r="C20" s="13" t="s">
        <v>1226</v>
      </c>
    </row>
    <row r="21" customFormat="false" ht="18" hidden="false" customHeight="true" outlineLevel="0" collapsed="false">
      <c r="A21" s="25" t="s">
        <v>1227</v>
      </c>
      <c r="B21" s="25" t="s">
        <v>1228</v>
      </c>
      <c r="C21" s="25" t="s">
        <v>1229</v>
      </c>
    </row>
    <row r="22" customFormat="false" ht="25.5" hidden="false" customHeight="true" outlineLevel="0" collapsed="false">
      <c r="A22" s="25" t="s">
        <v>1230</v>
      </c>
      <c r="B22" s="25" t="s">
        <v>1231</v>
      </c>
      <c r="C22" s="25" t="s">
        <v>1229</v>
      </c>
    </row>
    <row r="23" customFormat="false" ht="25.5" hidden="false" customHeight="true" outlineLevel="0" collapsed="false">
      <c r="A23" s="25" t="s">
        <v>1232</v>
      </c>
      <c r="B23" s="25" t="s">
        <v>1233</v>
      </c>
      <c r="C23" s="25" t="s">
        <v>1234</v>
      </c>
    </row>
    <row r="25" customFormat="false" ht="19.5" hidden="false" customHeight="true" outlineLevel="0" collapsed="false">
      <c r="A25" s="5" t="s">
        <v>1235</v>
      </c>
      <c r="B25" s="5"/>
      <c r="C25" s="5"/>
    </row>
    <row r="26" customFormat="false" ht="21.75" hidden="false" customHeight="true" outlineLevel="0" collapsed="false">
      <c r="A26" s="13" t="s">
        <v>1236</v>
      </c>
      <c r="B26" s="13" t="s">
        <v>1237</v>
      </c>
      <c r="C26" s="13" t="s">
        <v>1238</v>
      </c>
    </row>
    <row r="27" customFormat="false" ht="39" hidden="false" customHeight="true" outlineLevel="0" collapsed="false">
      <c r="A27" s="25" t="s">
        <v>1239</v>
      </c>
      <c r="B27" s="25" t="s">
        <v>1240</v>
      </c>
      <c r="C27" s="25" t="s">
        <v>1241</v>
      </c>
    </row>
    <row r="28" customFormat="false" ht="25.5" hidden="false" customHeight="true" outlineLevel="0" collapsed="false">
      <c r="A28" s="25" t="s">
        <v>1242</v>
      </c>
      <c r="B28" s="25" t="s">
        <v>1243</v>
      </c>
      <c r="C28" s="25" t="s">
        <v>1244</v>
      </c>
    </row>
    <row r="29" customFormat="false" ht="18" hidden="false" customHeight="true" outlineLevel="0" collapsed="false">
      <c r="A29" s="25" t="s">
        <v>1245</v>
      </c>
      <c r="B29" s="25" t="s">
        <v>1246</v>
      </c>
      <c r="C29" s="25" t="s">
        <v>1247</v>
      </c>
    </row>
    <row r="30" customFormat="false" ht="25.5" hidden="false" customHeight="true" outlineLevel="0" collapsed="false">
      <c r="A30" s="25" t="s">
        <v>1248</v>
      </c>
      <c r="B30" s="25" t="s">
        <v>1249</v>
      </c>
      <c r="C30" s="25" t="s">
        <v>1250</v>
      </c>
    </row>
    <row r="31" customFormat="false" ht="25.5" hidden="false" customHeight="true" outlineLevel="0" collapsed="false">
      <c r="A31" s="25" t="s">
        <v>1251</v>
      </c>
      <c r="B31" s="25" t="s">
        <v>1252</v>
      </c>
      <c r="C31" s="25" t="s">
        <v>1253</v>
      </c>
    </row>
    <row r="33" customFormat="false" ht="19.5" hidden="false" customHeight="true" outlineLevel="0" collapsed="false">
      <c r="A33" s="5" t="s">
        <v>1254</v>
      </c>
      <c r="B33" s="5"/>
      <c r="C33" s="5"/>
    </row>
    <row r="34" customFormat="false" ht="21.75" hidden="false" customHeight="true" outlineLevel="0" collapsed="false">
      <c r="A34" s="13" t="s">
        <v>1255</v>
      </c>
      <c r="B34" s="13" t="s">
        <v>1236</v>
      </c>
      <c r="C34" s="13" t="s">
        <v>1238</v>
      </c>
    </row>
    <row r="35" customFormat="false" ht="39" hidden="false" customHeight="true" outlineLevel="0" collapsed="false">
      <c r="A35" s="25" t="s">
        <v>1256</v>
      </c>
      <c r="B35" s="25" t="s">
        <v>1257</v>
      </c>
      <c r="C35" s="25" t="s">
        <v>1258</v>
      </c>
    </row>
    <row r="36" customFormat="false" ht="25.5" hidden="false" customHeight="true" outlineLevel="0" collapsed="false">
      <c r="A36" s="25" t="s">
        <v>68</v>
      </c>
      <c r="B36" s="25" t="s">
        <v>1259</v>
      </c>
      <c r="C36" s="25" t="s">
        <v>1260</v>
      </c>
    </row>
    <row r="37" customFormat="false" ht="18" hidden="false" customHeight="true" outlineLevel="0" collapsed="false">
      <c r="A37" s="25" t="s">
        <v>66</v>
      </c>
      <c r="B37" s="25" t="s">
        <v>1261</v>
      </c>
      <c r="C37" s="25" t="s">
        <v>1262</v>
      </c>
    </row>
    <row r="38" customFormat="false" ht="39" hidden="false" customHeight="true" outlineLevel="0" collapsed="false">
      <c r="A38" s="25" t="s">
        <v>1263</v>
      </c>
      <c r="B38" s="25" t="s">
        <v>1264</v>
      </c>
      <c r="C38" s="25" t="s">
        <v>1265</v>
      </c>
    </row>
    <row r="39" customFormat="false" ht="18" hidden="false" customHeight="true" outlineLevel="0" collapsed="false">
      <c r="A39" s="25" t="s">
        <v>70</v>
      </c>
      <c r="B39" s="25" t="s">
        <v>1266</v>
      </c>
      <c r="C39" s="25" t="s">
        <v>1267</v>
      </c>
    </row>
    <row r="40" customFormat="false" ht="25.5" hidden="false" customHeight="true" outlineLevel="0" collapsed="false">
      <c r="A40" s="25" t="s">
        <v>1268</v>
      </c>
      <c r="B40" s="25" t="s">
        <v>1269</v>
      </c>
      <c r="C40" s="25" t="s">
        <v>1270</v>
      </c>
    </row>
    <row r="41" customFormat="false" ht="25.5" hidden="false" customHeight="true" outlineLevel="0" collapsed="false">
      <c r="A41" s="25" t="s">
        <v>1271</v>
      </c>
      <c r="B41" s="25" t="s">
        <v>1272</v>
      </c>
      <c r="C41" s="25" t="s">
        <v>1165</v>
      </c>
    </row>
    <row r="43" customFormat="false" ht="19.5" hidden="false" customHeight="true" outlineLevel="0" collapsed="false">
      <c r="A43" s="5" t="s">
        <v>1273</v>
      </c>
      <c r="B43" s="5"/>
      <c r="C43" s="5"/>
    </row>
    <row r="44" customFormat="false" ht="21.75" hidden="false" customHeight="true" outlineLevel="0" collapsed="false">
      <c r="A44" s="13" t="s">
        <v>1274</v>
      </c>
      <c r="B44" s="13" t="s">
        <v>1275</v>
      </c>
      <c r="C44" s="13" t="s">
        <v>71</v>
      </c>
    </row>
    <row r="45" customFormat="false" ht="25.5" hidden="false" customHeight="true" outlineLevel="0" collapsed="false">
      <c r="A45" s="25" t="s">
        <v>1276</v>
      </c>
      <c r="B45" s="25" t="s">
        <v>1277</v>
      </c>
      <c r="C45" s="25" t="s">
        <v>1278</v>
      </c>
    </row>
    <row r="46" customFormat="false" ht="25.5" hidden="false" customHeight="true" outlineLevel="0" collapsed="false">
      <c r="A46" s="25" t="s">
        <v>1279</v>
      </c>
      <c r="B46" s="25" t="s">
        <v>1280</v>
      </c>
      <c r="C46" s="25" t="s">
        <v>1281</v>
      </c>
    </row>
    <row r="47" customFormat="false" ht="25.5" hidden="false" customHeight="true" outlineLevel="0" collapsed="false">
      <c r="A47" s="25" t="s">
        <v>1282</v>
      </c>
      <c r="B47" s="25" t="s">
        <v>1283</v>
      </c>
      <c r="C47" s="25" t="s">
        <v>1284</v>
      </c>
    </row>
    <row r="48" customFormat="false" ht="25.5" hidden="false" customHeight="true" outlineLevel="0" collapsed="false">
      <c r="A48" s="25" t="s">
        <v>1285</v>
      </c>
      <c r="B48" s="25" t="s">
        <v>1286</v>
      </c>
      <c r="C48" s="25" t="s">
        <v>1287</v>
      </c>
    </row>
  </sheetData>
  <mergeCells count="11">
    <mergeCell ref="A1:C1"/>
    <mergeCell ref="A2:C2"/>
    <mergeCell ref="A4:C4"/>
    <mergeCell ref="A5:C5"/>
    <mergeCell ref="A6:C6"/>
    <mergeCell ref="A8:C8"/>
    <mergeCell ref="A14:C14"/>
    <mergeCell ref="A19:C19"/>
    <mergeCell ref="A25:C25"/>
    <mergeCell ref="A33:C33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2026-07-02T12:57:51Z</dcterms:created>
  <dc:creator>openpyxl</dc:creator>
  <dc:description/>
  <dc:language>en-US</dc:language>
  <cp:lastModifiedBy/>
  <dcterms:modified xsi:type="dcterms:W3CDTF">2026-07-02T12:57:52Z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