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1️⃣ Brands" sheetId="2" state="visible" r:id="rId4"/>
    <sheet name="2️⃣ Models" sheetId="3" state="visible" r:id="rId5"/>
    <sheet name="3️⃣ Statistics" sheetId="4" state="visible" r:id="rId6"/>
    <sheet name="4️⃣ Hierarchy View" sheetId="5" state="visible" r:id="rId7"/>
    <sheet name="5️⃣ Database Mapping" sheetId="6" state="visible" r:id="rId8"/>
    <sheet name="6️⃣ Import Ru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<sst xmlns="http://schemas.openxmlformats.org/spreadsheetml/2006/main" count="1190" uniqueCount="741">
  <si>
    <t xml:space="preserve">PieceFacile Light Commercial Vehicles — V2</t>
  </si>
  <si>
    <t xml:space="preserve">Official Light Commercial Vehicles reference dataset · built on the PieceFacile Dataset Standard V1 · Algeria-first · Supabase/PostgreSQL-ready</t>
  </si>
  <si>
    <t xml:space="preserve">INSTRUCTIONS</t>
  </si>
  <si>
    <t xml:space="preserve">• This workbook is a production dataset built strictly on PieceFacile_Dataset_Standard_V1. Sheet order, columns, formatting, and rules are identical to the Standard; only the data differs.</t>
  </si>
  <si>
    <t xml:space="preserve">• Data sheets (1️⃣ Brands, 2️⃣ Models) contain only real, production brands and models curated Algeria-first: installed fleet size, aging fleets still requiring parts, and local assembly presence drive the Popularity Algeria (dz_tier) ranking.</t>
  </si>
  <si>
    <t xml:space="preserve">• All rows in this dataset are Status = 'active'. If a future entry needs confirmation, mark it 'draft' — draft rows are never imported.</t>
  </si>
  <si>
    <t xml:space="preserve">• V1 structural scope applies: no Families, Generations, Engines, VIN, OEM numbers, Compatibility, Trim Levels, or Technical Specifications.</t>
  </si>
  <si>
    <t xml:space="preserve">Dataset Metadata</t>
  </si>
  <si>
    <t xml:space="preserve">Dataset Name</t>
  </si>
  <si>
    <t xml:space="preserve">PieceFacile_Light_Commercial_V2</t>
  </si>
  <si>
    <t xml:space="preserve">Follows the Standard's naming convention PieceFacile_&lt;Category&gt;_V&lt;n&gt;</t>
  </si>
  <si>
    <t xml:space="preserve">Category</t>
  </si>
  <si>
    <t xml:space="preserve">Light Commercial Vehicles</t>
  </si>
  <si>
    <t xml:space="preserve">Category code: lcv</t>
  </si>
  <si>
    <t xml:space="preserve">Version</t>
  </si>
  <si>
    <t xml:space="preserve">2.0</t>
  </si>
  <si>
    <t xml:space="preserve">Full reconstruction on Dataset Standard V1; supersedes Light Commercial Vehicles V1</t>
  </si>
  <si>
    <t xml:space="preserve">Market</t>
  </si>
  <si>
    <t xml:space="preserve">Algeria (DZ)</t>
  </si>
  <si>
    <t xml:space="preserve">All datasets are scoped Algeria-first</t>
  </si>
  <si>
    <t xml:space="preserve">Description</t>
  </si>
  <si>
    <t xml:space="preserve">Reference dataset of light commercial vehicle brands and models for the PieceFacile spare-parts marketplace.</t>
  </si>
  <si>
    <t xml:space="preserve">Panel vans, pickup trucks, chassis cabs and LCV-classified minibuses; active and discontinued-but-common</t>
  </si>
  <si>
    <t xml:space="preserve">Scope</t>
  </si>
  <si>
    <t xml:space="preserve">Brands and Models only. Panel vans, pickup trucks, chassis cabs and LCV-classified minibuses; excludes heavy trucks and passenger cars. Production models only.</t>
  </si>
  <si>
    <t xml:space="preserve">Covers current importers/assemblers plus discontinued models still common in Algeria</t>
  </si>
  <si>
    <t xml:space="preserve">Maintainer</t>
  </si>
  <si>
    <t xml:space="preserve">PieceFacile Data Team</t>
  </si>
  <si>
    <t xml:space="preserve">Person or team responsible for updates</t>
  </si>
  <si>
    <t xml:space="preserve">Source</t>
  </si>
  <si>
    <t xml:space="preserve">Curated: DZ importer/assembler landscape (Tafraoui-Oran, Batna, Tiaret, Emin Auto programs), fleet knowledge, manufacturer catalogs, Algerian automotive press.</t>
  </si>
  <si>
    <t xml:space="preserve">All entries verified as real production marques/models</t>
  </si>
  <si>
    <t xml:space="preserve">Last Update</t>
  </si>
  <si>
    <t xml:space="preserve">2026-07-02</t>
  </si>
  <si>
    <t xml:space="preserve">ISO date (YYYY-MM-DD) of the most recent edit</t>
  </si>
  <si>
    <t xml:space="preserve">Statistics (live — calculated from the data sheets)</t>
  </si>
  <si>
    <t xml:space="preserve">Total Brands</t>
  </si>
  <si>
    <t xml:space="preserve">Auto-calculated — do not type over this formula.</t>
  </si>
  <si>
    <t xml:space="preserve">Total Models</t>
  </si>
  <si>
    <t xml:space="preserve">Active Brands</t>
  </si>
  <si>
    <t xml:space="preserve">Active Models</t>
  </si>
  <si>
    <t xml:space="preserve">Import Notes</t>
  </si>
  <si>
    <t xml:space="preserve">• Import order into Supabase/PostgreSQL: vehicle_categories → brands → models (parents before children).</t>
  </si>
  <si>
    <t xml:space="preserve">• Export each data sheet to CSV (UTF-8) before import, or use the Supabase table editor / SQL COPY.</t>
  </si>
  <si>
    <t xml:space="preserve">• IDs in this workbook are human-readable business keys (e.g. BRD-0001). Database primary keys are generated by Postgres; store the business key in the 'external_ref' column defined on the 5️⃣ Database Mapping sheet.</t>
  </si>
  <si>
    <t xml:space="preserve">• Validate against the 6️⃣ Import Rules sheet before every import: required fields, unique slugs, and normalization rules.</t>
  </si>
  <si>
    <t xml:space="preserve">• Never import rows with Status = 'draft' (none currently in this dataset; the gate still applies to future edits).</t>
  </si>
  <si>
    <t xml:space="preserve">1️⃣ Brands</t>
  </si>
  <si>
    <t xml:space="preserve">One row per light commercial vehicle brand · sorted by Popularity Algeria, then Brand Name</t>
  </si>
  <si>
    <t xml:space="preserve">• One row = one brand. Never duplicate a Brand Name or Slug (see 6️⃣ Import Rules).</t>
  </si>
  <si>
    <t xml:space="preserve">• Brand ID format: BRD-#### (zero-padded, sequential, never reused). Slug: lowercase, hyphenated, ASCII only.</t>
  </si>
  <si>
    <t xml:space="preserve">• Popularity Algeria uses the dz_tier scale: 1 = very high demand · 2 = high · 3 = medium · 4 = low/niche. Ranked by installed fleet, historical fleets still needing parts, and local assembly presence.</t>
  </si>
  <si>
    <t xml:space="preserve">• Status: 'active' (importable) or 'draft' (excluded from import). Discontinued models common in Algeria stay 'active' because their fleets still generate parts demand.</t>
  </si>
  <si>
    <t xml:space="preserve">Column descriptions ↓</t>
  </si>
  <si>
    <t xml:space="preserve">Business key. Format BRD-#### . Unique, sequential, never reused.</t>
  </si>
  <si>
    <t xml:space="preserve">Official brand name, English/Latin spelling (e.g. Renault, Toyota).</t>
  </si>
  <si>
    <t xml:space="preserve">URL-safe identifier: lowercase, a–z 0–9 and hyphens only, unique.</t>
  </si>
  <si>
    <t xml:space="preserve">Country of origin (ISO English name, e.g. France, China).</t>
  </si>
  <si>
    <t xml:space="preserve">Owning group if any (e.g. Stellantis, Hyundai Motor Group).</t>
  </si>
  <si>
    <t xml:space="preserve">Comma-separated aliases &amp; local spellings incl. Arabic/French variants.</t>
  </si>
  <si>
    <t xml:space="preserve">dz_tier 1–4. 1 = very high parts demand in Algeria … 4 = niche.</t>
  </si>
  <si>
    <t xml:space="preserve">'active' or 'draft'. Only 'active' rows are imported.</t>
  </si>
  <si>
    <t xml:space="preserve">Free text: local assembly, import history, fleet context, caveats.</t>
  </si>
  <si>
    <t xml:space="preserve">Brand ID</t>
  </si>
  <si>
    <t xml:space="preserve">Brand Name</t>
  </si>
  <si>
    <t xml:space="preserve">Slug</t>
  </si>
  <si>
    <t xml:space="preserve">Country</t>
  </si>
  <si>
    <t xml:space="preserve">Parent Group</t>
  </si>
  <si>
    <t xml:space="preserve">Alternative Names</t>
  </si>
  <si>
    <t xml:space="preserve">Popularity Algeria</t>
  </si>
  <si>
    <t xml:space="preserve">Status</t>
  </si>
  <si>
    <t xml:space="preserve">Notes</t>
  </si>
  <si>
    <t xml:space="preserve">BRD-0001</t>
  </si>
  <si>
    <t xml:space="preserve">Dacia</t>
  </si>
  <si>
    <t xml:space="preserve">dacia</t>
  </si>
  <si>
    <t xml:space="preserve">Romania</t>
  </si>
  <si>
    <t xml:space="preserve">Renault Group</t>
  </si>
  <si>
    <t xml:space="preserve">داسيا</t>
  </si>
  <si>
    <t xml:space="preserve">active</t>
  </si>
  <si>
    <t xml:space="preserve">Dokker is one of the most common trade vans in Algeria; very large recent fleet with heavy daily use.</t>
  </si>
  <si>
    <t xml:space="preserve">BRD-0002</t>
  </si>
  <si>
    <t xml:space="preserve">Fiat</t>
  </si>
  <si>
    <t xml:space="preserve">fiat</t>
  </si>
  <si>
    <t xml:space="preserve">Italy</t>
  </si>
  <si>
    <t xml:space="preserve">Stellantis</t>
  </si>
  <si>
    <t xml:space="preserve">فيات, Fiat Professional</t>
  </si>
  <si>
    <t xml:space="preserve">Stellantis industrial hub at Tafraoui (Oran) produces Fiat models locally, including the Doblò; historic Fiorino/Ducato fleets add strong legacy demand.</t>
  </si>
  <si>
    <t xml:space="preserve">BRD-0003</t>
  </si>
  <si>
    <t xml:space="preserve">Hyundai</t>
  </si>
  <si>
    <t xml:space="preserve">hyundai</t>
  </si>
  <si>
    <t xml:space="preserve">South Korea</t>
  </si>
  <si>
    <t xml:space="preserve">Hyundai Motor Group</t>
  </si>
  <si>
    <t xml:space="preserve">هيونداي</t>
  </si>
  <si>
    <t xml:space="preserve">H100/Porter and HD light trucks are workhorses of Algerian trades; HD range assembled at Batna during the Global Motors Industries program.</t>
  </si>
  <si>
    <t xml:space="preserve">BRD-0004</t>
  </si>
  <si>
    <t xml:space="preserve">Kia</t>
  </si>
  <si>
    <t xml:space="preserve">kia</t>
  </si>
  <si>
    <t xml:space="preserve">كيا</t>
  </si>
  <si>
    <t xml:space="preserve">K2700 is the archetypal Algerian light truck ('camion Kia'); enormous installed base across multiple import waves.</t>
  </si>
  <si>
    <t xml:space="preserve">BRD-0005</t>
  </si>
  <si>
    <t xml:space="preserve">Peugeot</t>
  </si>
  <si>
    <t xml:space="preserve">peugeot</t>
  </si>
  <si>
    <t xml:space="preserve">France</t>
  </si>
  <si>
    <t xml:space="preserve">بيجو</t>
  </si>
  <si>
    <t xml:space="preserve">Partner and Boxer dominate their segments; legendary 404/504 pickups still work rural Algeria, sustaining deep legacy parts demand.</t>
  </si>
  <si>
    <t xml:space="preserve">BRD-0006</t>
  </si>
  <si>
    <t xml:space="preserve">Renault</t>
  </si>
  <si>
    <t xml:space="preserve">renault</t>
  </si>
  <si>
    <t xml:space="preserve">رونو</t>
  </si>
  <si>
    <t xml:space="preserve">Kangoo and Master are ubiquitous in trades and logistics; decades of import waves plus the brand's DZ industrial history.</t>
  </si>
  <si>
    <t xml:space="preserve">BRD-0007</t>
  </si>
  <si>
    <t xml:space="preserve">Toyota</t>
  </si>
  <si>
    <t xml:space="preserve">toyota</t>
  </si>
  <si>
    <t xml:space="preserve">Japan</t>
  </si>
  <si>
    <t xml:space="preserve">Toyota Motor</t>
  </si>
  <si>
    <t xml:space="preserve">تويوتا</t>
  </si>
  <si>
    <t xml:space="preserve">Hilux is the reference pickup nationwide; Hiace dominates artisan transport and rural minibus service.</t>
  </si>
  <si>
    <t xml:space="preserve">BRD-0008</t>
  </si>
  <si>
    <t xml:space="preserve">Citroën</t>
  </si>
  <si>
    <t xml:space="preserve">citroen</t>
  </si>
  <si>
    <t xml:space="preserve">سيتروين, Citroen</t>
  </si>
  <si>
    <t xml:space="preserve">Berlingo is a staple small van; Jumper/Jumpy and the legacy C15 keep a broad parts base.</t>
  </si>
  <si>
    <t xml:space="preserve">BRD-0009</t>
  </si>
  <si>
    <t xml:space="preserve">DFSK</t>
  </si>
  <si>
    <t xml:space="preserve">dfsk</t>
  </si>
  <si>
    <t xml:space="preserve">China</t>
  </si>
  <si>
    <t xml:space="preserve">Dongfeng Sokon (Seres Group)</t>
  </si>
  <si>
    <t xml:space="preserve">دي إف إس كا, Dongfeng Sokon</t>
  </si>
  <si>
    <t xml:space="preserve">Leading Chinese mini-truck/mini-van marque of the 2010s DZ import and assembly wave; K01 everywhere in light delivery.</t>
  </si>
  <si>
    <t xml:space="preserve">BRD-0010</t>
  </si>
  <si>
    <t xml:space="preserve">Ford</t>
  </si>
  <si>
    <t xml:space="preserve">ford</t>
  </si>
  <si>
    <t xml:space="preserve">United States</t>
  </si>
  <si>
    <t xml:space="preserve">Ford Motor Company</t>
  </si>
  <si>
    <t xml:space="preserve">فورد</t>
  </si>
  <si>
    <t xml:space="preserve">Ranger pickups and Transit vans present across fleets via Turkish-built imports.</t>
  </si>
  <si>
    <t xml:space="preserve">BRD-0011</t>
  </si>
  <si>
    <t xml:space="preserve">Isuzu</t>
  </si>
  <si>
    <t xml:space="preserve">isuzu</t>
  </si>
  <si>
    <t xml:space="preserve">Isuzu Motors</t>
  </si>
  <si>
    <t xml:space="preserve">إيسوزو</t>
  </si>
  <si>
    <t xml:space="preserve">D-Max pickups plus N-series light cab-chassis trucks widely used by tradesmen and municipalities.</t>
  </si>
  <si>
    <t xml:space="preserve">BRD-0012</t>
  </si>
  <si>
    <t xml:space="preserve">Iveco</t>
  </si>
  <si>
    <t xml:space="preserve">iveco</t>
  </si>
  <si>
    <t xml:space="preserve">Iveco Group</t>
  </si>
  <si>
    <t xml:space="preserve">إيفيكو</t>
  </si>
  <si>
    <t xml:space="preserve">Daily is a mainstay chassis-cab and minibus platform; supported by the IVAL network and Iveco's DZ industrial program.</t>
  </si>
  <si>
    <t xml:space="preserve">BRD-0013</t>
  </si>
  <si>
    <t xml:space="preserve">JAC</t>
  </si>
  <si>
    <t xml:space="preserve">jac</t>
  </si>
  <si>
    <t xml:space="preserve">JAC Group</t>
  </si>
  <si>
    <t xml:space="preserve">جاك</t>
  </si>
  <si>
    <t xml:space="preserve">Light trucks assembled in Algeria under the Emin Auto program; fast-growing recent fleet.</t>
  </si>
  <si>
    <t xml:space="preserve">BRD-0014</t>
  </si>
  <si>
    <t xml:space="preserve">Mercedes-Benz</t>
  </si>
  <si>
    <t xml:space="preserve">mercedes-benz</t>
  </si>
  <si>
    <t xml:space="preserve">Germany</t>
  </si>
  <si>
    <t xml:space="preserve">Daimler Truck / Mercedes-Benz Group</t>
  </si>
  <si>
    <t xml:space="preserve">مرسيدس</t>
  </si>
  <si>
    <t xml:space="preserve">Sprinter assembled locally during the SAFAV-MB program (Tiaret region); classic 207D vans remain common in artisan use.</t>
  </si>
  <si>
    <t xml:space="preserve">BRD-0015</t>
  </si>
  <si>
    <t xml:space="preserve">Mitsubishi</t>
  </si>
  <si>
    <t xml:space="preserve">mitsubishi</t>
  </si>
  <si>
    <t xml:space="preserve">Mitsubishi Motors / Mitsubishi Fuso</t>
  </si>
  <si>
    <t xml:space="preserve">ميتسوبيشي, Fuso</t>
  </si>
  <si>
    <t xml:space="preserve">L200 pickups, L300 vans and Canter light trucks all have long DZ service histories.</t>
  </si>
  <si>
    <t xml:space="preserve">BRD-0016</t>
  </si>
  <si>
    <t xml:space="preserve">Nissan</t>
  </si>
  <si>
    <t xml:space="preserve">nissan</t>
  </si>
  <si>
    <t xml:space="preserve">Nissan Motor</t>
  </si>
  <si>
    <t xml:space="preserve">نيسان</t>
  </si>
  <si>
    <t xml:space="preserve">Hardbody/NP300 pickups earned a strong utility reputation; Navara and Urvan complement the range.</t>
  </si>
  <si>
    <t xml:space="preserve">BRD-0017</t>
  </si>
  <si>
    <t xml:space="preserve">Volkswagen</t>
  </si>
  <si>
    <t xml:space="preserve">volkswagen</t>
  </si>
  <si>
    <t xml:space="preserve">Volkswagen Group</t>
  </si>
  <si>
    <t xml:space="preserve">فولكس فاغن, VW</t>
  </si>
  <si>
    <t xml:space="preserve">Caddy is a top-selling small van; Transporter and legacy LT vans add depth.</t>
  </si>
  <si>
    <t xml:space="preserve">BRD-0018</t>
  </si>
  <si>
    <t xml:space="preserve">Foton</t>
  </si>
  <si>
    <t xml:space="preserve">foton</t>
  </si>
  <si>
    <t xml:space="preserve">BAIC Group</t>
  </si>
  <si>
    <t xml:space="preserve">فوتون</t>
  </si>
  <si>
    <t xml:space="preserve">Light trucks, pickups and View minibuses imported for trades and transport.</t>
  </si>
  <si>
    <t xml:space="preserve">BRD-0019</t>
  </si>
  <si>
    <t xml:space="preserve">Great Wall</t>
  </si>
  <si>
    <t xml:space="preserve">great-wall</t>
  </si>
  <si>
    <t xml:space="preserve">Great Wall Motor</t>
  </si>
  <si>
    <t xml:space="preserve">غريت وول, GWM</t>
  </si>
  <si>
    <t xml:space="preserve">Wingle pickups distributed in DZ during the Chinese import wave.</t>
  </si>
  <si>
    <t xml:space="preserve">BRD-0020</t>
  </si>
  <si>
    <t xml:space="preserve">JMC</t>
  </si>
  <si>
    <t xml:space="preserve">jmc</t>
  </si>
  <si>
    <t xml:space="preserve">Jiangling Motors</t>
  </si>
  <si>
    <t xml:space="preserve">جي إم سي, Jiangling</t>
  </si>
  <si>
    <t xml:space="preserve">Light trucks and pickups present in commercial fleets.</t>
  </si>
  <si>
    <t xml:space="preserve">2️⃣ Models</t>
  </si>
  <si>
    <t xml:space="preserve">One row per model · every Brand ID must exist on the 1️⃣ Brands sheet</t>
  </si>
  <si>
    <t xml:space="preserve">• One row = one model. Brand ID is a foreign key: it must match an existing row on 1️⃣ Brands exactly.</t>
  </si>
  <si>
    <t xml:space="preserve">• Model ID format: MDL-#### . Slug format: &lt;brand-slug&gt;-&lt;model-slug&gt; to guarantee global uniqueness (e.g. renault-kangoo).</t>
  </si>
  <si>
    <t xml:space="preserve">• Vehicle Type: lcv for every row of this dataset.</t>
  </si>
  <si>
    <t xml:space="preserve">• Brand Name is redundant on purpose (human readability). It must always equal the Brand Name of the referenced Brand ID.</t>
  </si>
  <si>
    <t xml:space="preserve">• Do NOT add generations, engines, trims, or years — out of scope for V1 structure.</t>
  </si>
  <si>
    <t xml:space="preserve">Business key. Format MDL-#### . Unique, sequential, never reused.</t>
  </si>
  <si>
    <t xml:space="preserve">Foreign key → 1️⃣ Brands. Must match an existing Brand ID.</t>
  </si>
  <si>
    <t xml:space="preserve">Denormalized copy of the brand's name — must match Brands sheet.</t>
  </si>
  <si>
    <t xml:space="preserve">Official model name without trim/engine (e.g. Kangoo, Hilux, K2700).</t>
  </si>
  <si>
    <t xml:space="preserve">Globally unique: &lt;brand-slug&gt;-&lt;model-slug&gt;, lowercase, hyphens.</t>
  </si>
  <si>
    <t xml:space="preserve">Category code: lcv for this dataset.</t>
  </si>
  <si>
    <t xml:space="preserve">Comma-separated aliases, local nicknames, regional names.</t>
  </si>
  <si>
    <t xml:space="preserve">dz_tier 1–4 for this model in the Algerian market.</t>
  </si>
  <si>
    <t xml:space="preserve">Free text: fleet notes, assembly, import waves, caveats.</t>
  </si>
  <si>
    <t xml:space="preserve">Model ID</t>
  </si>
  <si>
    <t xml:space="preserve">Model Name</t>
  </si>
  <si>
    <t xml:space="preserve">Vehicle Type</t>
  </si>
  <si>
    <t xml:space="preserve">MDL-0001</t>
  </si>
  <si>
    <t xml:space="preserve">Dokker</t>
  </si>
  <si>
    <t xml:space="preserve">dacia-dokker</t>
  </si>
  <si>
    <t xml:space="preserve">lcv</t>
  </si>
  <si>
    <t xml:space="preserve">دوكر</t>
  </si>
  <si>
    <t xml:space="preserve">Default trades van of the 2010s; massive fleet in daily commercial use.</t>
  </si>
  <si>
    <t xml:space="preserve">MDL-0002</t>
  </si>
  <si>
    <t xml:space="preserve">Logan Pick-Up</t>
  </si>
  <si>
    <t xml:space="preserve">dacia-logan-pick-up</t>
  </si>
  <si>
    <t xml:space="preserve">Logan Pickup</t>
  </si>
  <si>
    <t xml:space="preserve">Light pickup derivative present in small-business fleets.</t>
  </si>
  <si>
    <t xml:space="preserve">MDL-0003</t>
  </si>
  <si>
    <t xml:space="preserve">Doblò</t>
  </si>
  <si>
    <t xml:space="preserve">fiat-doblo</t>
  </si>
  <si>
    <t xml:space="preserve">دوبلو, Doblo</t>
  </si>
  <si>
    <t xml:space="preserve">Produced locally at the Tafraoui (Oran) plant; core small-van offer of the market relaunch.</t>
  </si>
  <si>
    <t xml:space="preserve">MDL-0004</t>
  </si>
  <si>
    <t xml:space="preserve">Ducato</t>
  </si>
  <si>
    <t xml:space="preserve">fiat-ducato</t>
  </si>
  <si>
    <t xml:space="preserve">دوكاتو</t>
  </si>
  <si>
    <t xml:space="preserve">Large-van staple for freight and minibus conversion; strong legacy fleet.</t>
  </si>
  <si>
    <t xml:space="preserve">MDL-0005</t>
  </si>
  <si>
    <t xml:space="preserve">Fiorino</t>
  </si>
  <si>
    <t xml:space="preserve">fiat-fiorino</t>
  </si>
  <si>
    <t xml:space="preserve">فيورينو</t>
  </si>
  <si>
    <t xml:space="preserve">Historic small van of Algerian trades; older generations still everywhere.</t>
  </si>
  <si>
    <t xml:space="preserve">MDL-0006</t>
  </si>
  <si>
    <t xml:space="preserve">Scudo</t>
  </si>
  <si>
    <t xml:space="preserve">fiat-scudo</t>
  </si>
  <si>
    <t xml:space="preserve">Mid-size van present through earlier import waves.</t>
  </si>
  <si>
    <t xml:space="preserve">MDL-0007</t>
  </si>
  <si>
    <t xml:space="preserve">H100</t>
  </si>
  <si>
    <t xml:space="preserve">hyundai-h100</t>
  </si>
  <si>
    <t xml:space="preserve">Porter, بورتر</t>
  </si>
  <si>
    <t xml:space="preserve">The classic Korean flatbed/chassis-cab of Algerian trades.</t>
  </si>
  <si>
    <t xml:space="preserve">MDL-0008</t>
  </si>
  <si>
    <t xml:space="preserve">HD65</t>
  </si>
  <si>
    <t xml:space="preserve">hyundai-hd65</t>
  </si>
  <si>
    <t xml:space="preserve">Light truck assembled at Batna (Global Motors era); ubiquitous in distribution.</t>
  </si>
  <si>
    <t xml:space="preserve">MDL-0009</t>
  </si>
  <si>
    <t xml:space="preserve">HD72</t>
  </si>
  <si>
    <t xml:space="preserve">hyundai-hd72</t>
  </si>
  <si>
    <t xml:space="preserve">Heavier sibling of the HD65 in the same assembly program.</t>
  </si>
  <si>
    <t xml:space="preserve">MDL-0010</t>
  </si>
  <si>
    <t xml:space="preserve">Mighty</t>
  </si>
  <si>
    <t xml:space="preserve">hyundai-mighty</t>
  </si>
  <si>
    <t xml:space="preserve">Modern successor to the HD light-truck line.</t>
  </si>
  <si>
    <t xml:space="preserve">MDL-0011</t>
  </si>
  <si>
    <t xml:space="preserve">H-1</t>
  </si>
  <si>
    <t xml:space="preserve">hyundai-h-1</t>
  </si>
  <si>
    <t xml:space="preserve">Starex</t>
  </si>
  <si>
    <t xml:space="preserve">Van/minibus used for goods and staff transport.</t>
  </si>
  <si>
    <t xml:space="preserve">MDL-0012</t>
  </si>
  <si>
    <t xml:space="preserve">K2700</t>
  </si>
  <si>
    <t xml:space="preserve">kia-k2700</t>
  </si>
  <si>
    <t xml:space="preserve">Bongo, بونغو</t>
  </si>
  <si>
    <t xml:space="preserve">The archetypal 'camion Kia'; enormous installed base among artisans and farmers.</t>
  </si>
  <si>
    <t xml:space="preserve">MDL-0013</t>
  </si>
  <si>
    <t xml:space="preserve">K2500</t>
  </si>
  <si>
    <t xml:space="preserve">kia-k2500</t>
  </si>
  <si>
    <t xml:space="preserve">Bongo</t>
  </si>
  <si>
    <t xml:space="preserve">Later evolution of the K-series light truck.</t>
  </si>
  <si>
    <t xml:space="preserve">MDL-0014</t>
  </si>
  <si>
    <t xml:space="preserve">Partner</t>
  </si>
  <si>
    <t xml:space="preserve">peugeot-partner</t>
  </si>
  <si>
    <t xml:space="preserve">بارتنر</t>
  </si>
  <si>
    <t xml:space="preserve">Ubiquitous small van across every wilaya; multiple generations in service.</t>
  </si>
  <si>
    <t xml:space="preserve">MDL-0015</t>
  </si>
  <si>
    <t xml:space="preserve">Boxer</t>
  </si>
  <si>
    <t xml:space="preserve">peugeot-boxer</t>
  </si>
  <si>
    <t xml:space="preserve">بوكسير</t>
  </si>
  <si>
    <t xml:space="preserve">Large-van staple for freight and minibus conversion.</t>
  </si>
  <si>
    <t xml:space="preserve">MDL-0016</t>
  </si>
  <si>
    <t xml:space="preserve">Expert</t>
  </si>
  <si>
    <t xml:space="preserve">peugeot-expert</t>
  </si>
  <si>
    <t xml:space="preserve">Mid-size van present through successive import waves.</t>
  </si>
  <si>
    <t xml:space="preserve">MDL-0017</t>
  </si>
  <si>
    <t xml:space="preserve">504 Pickup</t>
  </si>
  <si>
    <t xml:space="preserve">peugeot-504-pickup</t>
  </si>
  <si>
    <t xml:space="preserve">بيكوب 504</t>
  </si>
  <si>
    <t xml:space="preserve">Legendary rural pickup; discontinued but still working nationwide with relentless parts demand.</t>
  </si>
  <si>
    <t xml:space="preserve">MDL-0018</t>
  </si>
  <si>
    <t xml:space="preserve">404 Pickup</t>
  </si>
  <si>
    <t xml:space="preserve">peugeot-404-pickup</t>
  </si>
  <si>
    <t xml:space="preserve">بيكوب 404</t>
  </si>
  <si>
    <t xml:space="preserve">The original Algerian workhorse pickup; surviving units keep a steady parts niche.</t>
  </si>
  <si>
    <t xml:space="preserve">MDL-0019</t>
  </si>
  <si>
    <t xml:space="preserve">J5</t>
  </si>
  <si>
    <t xml:space="preserve">peugeot-j5</t>
  </si>
  <si>
    <t xml:space="preserve">Legacy large van of the 1980s–90s still encountered in artisan use.</t>
  </si>
  <si>
    <t xml:space="preserve">MDL-0020</t>
  </si>
  <si>
    <t xml:space="preserve">J9</t>
  </si>
  <si>
    <t xml:space="preserve">peugeot-j9</t>
  </si>
  <si>
    <t xml:space="preserve">Legacy van/minibus widely used historically for rural transport.</t>
  </si>
  <si>
    <t xml:space="preserve">MDL-0021</t>
  </si>
  <si>
    <t xml:space="preserve">Bipper</t>
  </si>
  <si>
    <t xml:space="preserve">peugeot-bipper</t>
  </si>
  <si>
    <t xml:space="preserve">Compact city van from the late-2000s import wave.</t>
  </si>
  <si>
    <t xml:space="preserve">MDL-0022</t>
  </si>
  <si>
    <t xml:space="preserve">Kangoo</t>
  </si>
  <si>
    <t xml:space="preserve">renault-kangoo</t>
  </si>
  <si>
    <t xml:space="preserve">كانغو</t>
  </si>
  <si>
    <t xml:space="preserve">Ubiquitous small van; the default artisan vehicle for two decades.</t>
  </si>
  <si>
    <t xml:space="preserve">MDL-0023</t>
  </si>
  <si>
    <t xml:space="preserve">Master</t>
  </si>
  <si>
    <t xml:space="preserve">renault-master</t>
  </si>
  <si>
    <t xml:space="preserve">ماستر</t>
  </si>
  <si>
    <t xml:space="preserve">Large-van mainstay for freight and minibus conversion.</t>
  </si>
  <si>
    <t xml:space="preserve">MDL-0024</t>
  </si>
  <si>
    <t xml:space="preserve">Trafic</t>
  </si>
  <si>
    <t xml:space="preserve">renault-trafic</t>
  </si>
  <si>
    <t xml:space="preserve">ترافيك</t>
  </si>
  <si>
    <t xml:space="preserve">Mid-size van with a broad multi-generation fleet.</t>
  </si>
  <si>
    <t xml:space="preserve">MDL-0025</t>
  </si>
  <si>
    <t xml:space="preserve">Express</t>
  </si>
  <si>
    <t xml:space="preserve">renault-express</t>
  </si>
  <si>
    <t xml:space="preserve">إكسبرس</t>
  </si>
  <si>
    <t xml:space="preserve">Current entry small van continuing the Kangoo formula; also the name of the classic 1990s small van.</t>
  </si>
  <si>
    <t xml:space="preserve">MDL-0026</t>
  </si>
  <si>
    <t xml:space="preserve">Hilux</t>
  </si>
  <si>
    <t xml:space="preserve">toyota-hilux</t>
  </si>
  <si>
    <t xml:space="preserve">هايلوكس</t>
  </si>
  <si>
    <t xml:space="preserve">Reference pickup of the Algerian market; dominant in utility, fleet and southern use.</t>
  </si>
  <si>
    <t xml:space="preserve">MDL-0027</t>
  </si>
  <si>
    <t xml:space="preserve">Hiace</t>
  </si>
  <si>
    <t xml:space="preserve">toyota-hiace</t>
  </si>
  <si>
    <t xml:space="preserve">هاياس</t>
  </si>
  <si>
    <t xml:space="preserve">Van/minibus icon of artisan and rural passenger transport.</t>
  </si>
  <si>
    <t xml:space="preserve">MDL-0028</t>
  </si>
  <si>
    <t xml:space="preserve">Land Cruiser Pickup</t>
  </si>
  <si>
    <t xml:space="preserve">toyota-land-cruiser-pickup</t>
  </si>
  <si>
    <t xml:space="preserve">J79, لاندكروزر بيكوب</t>
  </si>
  <si>
    <t xml:space="preserve">Heavy-duty single/double-cab pickup favored in the south and by energy contractors.</t>
  </si>
  <si>
    <t xml:space="preserve">MDL-0029</t>
  </si>
  <si>
    <t xml:space="preserve">Dyna</t>
  </si>
  <si>
    <t xml:space="preserve">toyota-dyna</t>
  </si>
  <si>
    <t xml:space="preserve">Light-duty cab-chassis truck present in older fleets.</t>
  </si>
  <si>
    <t xml:space="preserve">MDL-0030</t>
  </si>
  <si>
    <t xml:space="preserve">Berlingo</t>
  </si>
  <si>
    <t xml:space="preserve">citroen-berlingo</t>
  </si>
  <si>
    <t xml:space="preserve">بيرلينغو</t>
  </si>
  <si>
    <t xml:space="preserve">Staple small van alongside the Partner; multiple generations in service.</t>
  </si>
  <si>
    <t xml:space="preserve">MDL-0031</t>
  </si>
  <si>
    <t xml:space="preserve">C15</t>
  </si>
  <si>
    <t xml:space="preserve">citroen-c15</t>
  </si>
  <si>
    <t xml:space="preserve">Legacy small van of the 1980s–2000s; hard-working survivors remain common.</t>
  </si>
  <si>
    <t xml:space="preserve">MDL-0032</t>
  </si>
  <si>
    <t xml:space="preserve">Jumper</t>
  </si>
  <si>
    <t xml:space="preserve">citroen-jumper</t>
  </si>
  <si>
    <t xml:space="preserve">Large van sharing the Boxer/Ducato platform.</t>
  </si>
  <si>
    <t xml:space="preserve">MDL-0033</t>
  </si>
  <si>
    <t xml:space="preserve">Jumpy</t>
  </si>
  <si>
    <t xml:space="preserve">citroen-jumpy</t>
  </si>
  <si>
    <t xml:space="preserve">Mid-size van present through import waves.</t>
  </si>
  <si>
    <t xml:space="preserve">MDL-0034</t>
  </si>
  <si>
    <t xml:space="preserve">K01</t>
  </si>
  <si>
    <t xml:space="preserve">dfsk-k01</t>
  </si>
  <si>
    <t xml:space="preserve">Mini-truck that flooded light urban delivery in the 2010s.</t>
  </si>
  <si>
    <t xml:space="preserve">MDL-0035</t>
  </si>
  <si>
    <t xml:space="preserve">C35</t>
  </si>
  <si>
    <t xml:space="preserve">dfsk-c35</t>
  </si>
  <si>
    <t xml:space="preserve">Mini-van for passengers and cargo.</t>
  </si>
  <si>
    <t xml:space="preserve">MDL-0036</t>
  </si>
  <si>
    <t xml:space="preserve">C31</t>
  </si>
  <si>
    <t xml:space="preserve">dfsk-c31</t>
  </si>
  <si>
    <t xml:space="preserve">Single-cab mini-truck sibling of the C35.</t>
  </si>
  <si>
    <t xml:space="preserve">MDL-0037</t>
  </si>
  <si>
    <t xml:space="preserve">Ranger</t>
  </si>
  <si>
    <t xml:space="preserve">ford-ranger</t>
  </si>
  <si>
    <t xml:space="preserve">رانجر</t>
  </si>
  <si>
    <t xml:space="preserve">Mid-size pickup present in private and company fleets.</t>
  </si>
  <si>
    <t xml:space="preserve">MDL-0038</t>
  </si>
  <si>
    <t xml:space="preserve">Transit</t>
  </si>
  <si>
    <t xml:space="preserve">ford-transit</t>
  </si>
  <si>
    <t xml:space="preserve">ترانزيت</t>
  </si>
  <si>
    <t xml:space="preserve">Large van/chassis-cab with a long import history.</t>
  </si>
  <si>
    <t xml:space="preserve">MDL-0039</t>
  </si>
  <si>
    <t xml:space="preserve">D-Max</t>
  </si>
  <si>
    <t xml:space="preserve">isuzu-d-max</t>
  </si>
  <si>
    <t xml:space="preserve">ديماكس, DMax</t>
  </si>
  <si>
    <t xml:space="preserve">Durable mid-size pickup used by utilities and enterprises.</t>
  </si>
  <si>
    <t xml:space="preserve">MDL-0040</t>
  </si>
  <si>
    <t xml:space="preserve">NPR</t>
  </si>
  <si>
    <t xml:space="preserve">isuzu-npr</t>
  </si>
  <si>
    <t xml:space="preserve">N-series light truck common in urban distribution.</t>
  </si>
  <si>
    <t xml:space="preserve">MDL-0041</t>
  </si>
  <si>
    <t xml:space="preserve">NKR</t>
  </si>
  <si>
    <t xml:space="preserve">isuzu-nkr</t>
  </si>
  <si>
    <t xml:space="preserve">Lighter N-series cab-chassis widely used by tradesmen.</t>
  </si>
  <si>
    <t xml:space="preserve">MDL-0042</t>
  </si>
  <si>
    <t xml:space="preserve">Daily</t>
  </si>
  <si>
    <t xml:space="preserve">iveco-daily</t>
  </si>
  <si>
    <t xml:space="preserve">ديلي</t>
  </si>
  <si>
    <t xml:space="preserve">Chassis-cab, van and minibus platform widespread in transport and public fleets.</t>
  </si>
  <si>
    <t xml:space="preserve">MDL-0043</t>
  </si>
  <si>
    <t xml:space="preserve">1040</t>
  </si>
  <si>
    <t xml:space="preserve">jac-1040</t>
  </si>
  <si>
    <t xml:space="preserve">N-Series</t>
  </si>
  <si>
    <t xml:space="preserve">Light truck assembled locally under the Emin Auto program.</t>
  </si>
  <si>
    <t xml:space="preserve">MDL-0044</t>
  </si>
  <si>
    <t xml:space="preserve">X200</t>
  </si>
  <si>
    <t xml:space="preserve">jac-x200</t>
  </si>
  <si>
    <t xml:space="preserve">Compact cab-chassis truck popular with small businesses.</t>
  </si>
  <si>
    <t xml:space="preserve">MDL-0045</t>
  </si>
  <si>
    <t xml:space="preserve">Sunray</t>
  </si>
  <si>
    <t xml:space="preserve">jac-sunray</t>
  </si>
  <si>
    <t xml:space="preserve">Large van/minibus completing the range.</t>
  </si>
  <si>
    <t xml:space="preserve">MDL-0046</t>
  </si>
  <si>
    <t xml:space="preserve">Sprinter</t>
  </si>
  <si>
    <t xml:space="preserve">mercedes-benz-sprinter</t>
  </si>
  <si>
    <t xml:space="preserve">سبرينتر</t>
  </si>
  <si>
    <t xml:space="preserve">Assembled locally during the SAFAV-MB program; benchmark large van and minibus.</t>
  </si>
  <si>
    <t xml:space="preserve">MDL-0047</t>
  </si>
  <si>
    <t xml:space="preserve">Vito</t>
  </si>
  <si>
    <t xml:space="preserve">mercedes-benz-vito</t>
  </si>
  <si>
    <t xml:space="preserve">فيتو</t>
  </si>
  <si>
    <t xml:space="preserve">Mid-size van in goods and staff-transport use.</t>
  </si>
  <si>
    <t xml:space="preserve">MDL-0048</t>
  </si>
  <si>
    <t xml:space="preserve">207D</t>
  </si>
  <si>
    <t xml:space="preserve">mercedes-benz-207d</t>
  </si>
  <si>
    <t xml:space="preserve">Fourgon 207, T1</t>
  </si>
  <si>
    <t xml:space="preserve">Classic 1980s–90s van; survivors remain fixtures of artisan transport.</t>
  </si>
  <si>
    <t xml:space="preserve">MDL-0049</t>
  </si>
  <si>
    <t xml:space="preserve">L200</t>
  </si>
  <si>
    <t xml:space="preserve">mitsubishi-l200</t>
  </si>
  <si>
    <t xml:space="preserve">Long-serving mid-size pickup across utility fleets.</t>
  </si>
  <si>
    <t xml:space="preserve">MDL-0050</t>
  </si>
  <si>
    <t xml:space="preserve">L300</t>
  </si>
  <si>
    <t xml:space="preserve">mitsubishi-l300</t>
  </si>
  <si>
    <t xml:space="preserve">Van/minibus with a deep DZ service history.</t>
  </si>
  <si>
    <t xml:space="preserve">MDL-0051</t>
  </si>
  <si>
    <t xml:space="preserve">Canter</t>
  </si>
  <si>
    <t xml:space="preserve">mitsubishi-canter</t>
  </si>
  <si>
    <t xml:space="preserve">Fuso Canter</t>
  </si>
  <si>
    <t xml:space="preserve">Light truck (Fuso) common in urban distribution.</t>
  </si>
  <si>
    <t xml:space="preserve">MDL-0052</t>
  </si>
  <si>
    <t xml:space="preserve">NP300</t>
  </si>
  <si>
    <t xml:space="preserve">nissan-np300</t>
  </si>
  <si>
    <t xml:space="preserve">Hardbody, Pick-Up D22</t>
  </si>
  <si>
    <t xml:space="preserve">Rugged pickup generation with a strong utility reputation.</t>
  </si>
  <si>
    <t xml:space="preserve">MDL-0053</t>
  </si>
  <si>
    <t xml:space="preserve">Navara</t>
  </si>
  <si>
    <t xml:space="preserve">nissan-navara</t>
  </si>
  <si>
    <t xml:space="preserve">نافارا</t>
  </si>
  <si>
    <t xml:space="preserve">Mid-size pickup of recent import waves.</t>
  </si>
  <si>
    <t xml:space="preserve">MDL-0054</t>
  </si>
  <si>
    <t xml:space="preserve">Urvan</t>
  </si>
  <si>
    <t xml:space="preserve">nissan-urvan</t>
  </si>
  <si>
    <t xml:space="preserve">Caravan</t>
  </si>
  <si>
    <t xml:space="preserve">Van/minibus used in passenger and goods transport.</t>
  </si>
  <si>
    <t xml:space="preserve">MDL-0055</t>
  </si>
  <si>
    <t xml:space="preserve">Cabstar</t>
  </si>
  <si>
    <t xml:space="preserve">nissan-cabstar</t>
  </si>
  <si>
    <t xml:space="preserve">Light cab-chassis truck present in older fleets.</t>
  </si>
  <si>
    <t xml:space="preserve">MDL-0056</t>
  </si>
  <si>
    <t xml:space="preserve">Caddy</t>
  </si>
  <si>
    <t xml:space="preserve">volkswagen-caddy</t>
  </si>
  <si>
    <t xml:space="preserve">كادي</t>
  </si>
  <si>
    <t xml:space="preserve">Top-selling small van; huge multi-generation fleet.</t>
  </si>
  <si>
    <t xml:space="preserve">MDL-0057</t>
  </si>
  <si>
    <t xml:space="preserve">Transporter</t>
  </si>
  <si>
    <t xml:space="preserve">volkswagen-transporter</t>
  </si>
  <si>
    <t xml:space="preserve">T5, T6</t>
  </si>
  <si>
    <t xml:space="preserve">Mid-size van family with steady presence.</t>
  </si>
  <si>
    <t xml:space="preserve">MDL-0058</t>
  </si>
  <si>
    <t xml:space="preserve">Amarok</t>
  </si>
  <si>
    <t xml:space="preserve">volkswagen-amarok</t>
  </si>
  <si>
    <t xml:space="preserve">أماروك</t>
  </si>
  <si>
    <t xml:space="preserve">Mid-size pickup in private and company fleets.</t>
  </si>
  <si>
    <t xml:space="preserve">MDL-0059</t>
  </si>
  <si>
    <t xml:space="preserve">Crafter</t>
  </si>
  <si>
    <t xml:space="preserve">volkswagen-crafter</t>
  </si>
  <si>
    <t xml:space="preserve">Large van complementing the range.</t>
  </si>
  <si>
    <t xml:space="preserve">MDL-0060</t>
  </si>
  <si>
    <t xml:space="preserve">LT</t>
  </si>
  <si>
    <t xml:space="preserve">volkswagen-lt</t>
  </si>
  <si>
    <t xml:space="preserve">Legacy large van still encountered in artisan use.</t>
  </si>
  <si>
    <t xml:space="preserve">MDL-0061</t>
  </si>
  <si>
    <t xml:space="preserve">Aumark</t>
  </si>
  <si>
    <t xml:space="preserve">foton-aumark</t>
  </si>
  <si>
    <t xml:space="preserve">Light truck imported for distribution work.</t>
  </si>
  <si>
    <t xml:space="preserve">MDL-0062</t>
  </si>
  <si>
    <t xml:space="preserve">Tunland</t>
  </si>
  <si>
    <t xml:space="preserve">foton-tunland</t>
  </si>
  <si>
    <t xml:space="preserve">Mid-size pickup of the Chinese import wave.</t>
  </si>
  <si>
    <t xml:space="preserve">MDL-0063</t>
  </si>
  <si>
    <t xml:space="preserve">View</t>
  </si>
  <si>
    <t xml:space="preserve">foton-view</t>
  </si>
  <si>
    <t xml:space="preserve">Van/minibus used in passenger transport.</t>
  </si>
  <si>
    <t xml:space="preserve">MDL-0064</t>
  </si>
  <si>
    <t xml:space="preserve">Wingle</t>
  </si>
  <si>
    <t xml:space="preserve">great-wall-wingle</t>
  </si>
  <si>
    <t xml:space="preserve">وينغل</t>
  </si>
  <si>
    <t xml:space="preserve">Pickup family distributed during the Chinese import wave.</t>
  </si>
  <si>
    <t xml:space="preserve">MDL-0065</t>
  </si>
  <si>
    <t xml:space="preserve">Carrying</t>
  </si>
  <si>
    <t xml:space="preserve">jmc-carrying</t>
  </si>
  <si>
    <t xml:space="preserve">Light truck present in commercial fleets.</t>
  </si>
  <si>
    <t xml:space="preserve">MDL-0066</t>
  </si>
  <si>
    <t xml:space="preserve">Vigus</t>
  </si>
  <si>
    <t xml:space="preserve">jmc-vigus</t>
  </si>
  <si>
    <t xml:space="preserve">Pickup distributed in African markets including DZ.</t>
  </si>
  <si>
    <t xml:space="preserve">3️⃣ Statistics</t>
  </si>
  <si>
    <t xml:space="preserve">Auto-calculated summary — every value is a live formula, never type over it</t>
  </si>
  <si>
    <t xml:space="preserve">• This sheet is 100% formula-driven from tblBrands and tblModels. It updates automatically as you add rows to the data sheets.</t>
  </si>
  <si>
    <t xml:space="preserve">• Do not enter data here. If a value looks wrong, fix the source row on 1️⃣ Brands or 2️⃣ Models.</t>
  </si>
  <si>
    <t xml:space="preserve">• 'Top Brands' counts models per brand; 'Top Models' lists tier-1 models. Re-sort visually after large data loads if needed.</t>
  </si>
  <si>
    <t xml:space="preserve">Headline Counts</t>
  </si>
  <si>
    <t xml:space="preserve">All rows on the Brands sheet.</t>
  </si>
  <si>
    <t xml:space="preserve">All rows on the Models sheet.</t>
  </si>
  <si>
    <t xml:space="preserve">Brands with Status = active (importable).</t>
  </si>
  <si>
    <t xml:space="preserve">Models with Status = active (importable).</t>
  </si>
  <si>
    <t xml:space="preserve">Draft Brands</t>
  </si>
  <si>
    <t xml:space="preserve">Excluded from import.</t>
  </si>
  <si>
    <t xml:space="preserve">Draft Models</t>
  </si>
  <si>
    <t xml:space="preserve">Tier-1 Brands (very high demand)</t>
  </si>
  <si>
    <t xml:space="preserve">dz_tier = 1 on the Brands sheet.</t>
  </si>
  <si>
    <t xml:space="preserve">Tier-1 Models (very high demand)</t>
  </si>
  <si>
    <t xml:space="preserve">dz_tier = 1 on the Models sheet.</t>
  </si>
  <si>
    <t xml:space="preserve">Top Brands — models per brand (live)</t>
  </si>
  <si>
    <t xml:space="preserve">Model Count</t>
  </si>
  <si>
    <t xml:space="preserve">Note</t>
  </si>
  <si>
    <t xml:space="preserve">Rows follow the Brands sheet order (sorted by popularity). Extend downward as brands are added.</t>
  </si>
  <si>
    <t xml:space="preserve">Top Models — tier-1 demand (live)</t>
  </si>
  <si>
    <t xml:space="preserve">Filter view: on 2️⃣ Models, filter 'Popularity Algeria' = 1 to list top models. The counts below stay live:</t>
  </si>
  <si>
    <t xml:space="preserve">Tier-1 model count</t>
  </si>
  <si>
    <t xml:space="preserve">Models with dz_tier = 1 (e.g. Kangoo, Partner, Hilux, K2700, Doblò…).</t>
  </si>
  <si>
    <t xml:space="preserve">First tier-1 model (lookup)</t>
  </si>
  <si>
    <t xml:space="preserve">INDEX/MATCH pattern — duplicate for further rankings if needed.</t>
  </si>
  <si>
    <t xml:space="preserve">Coverage — tier distribution (live)</t>
  </si>
  <si>
    <t xml:space="preserve">Tier-1 brands</t>
  </si>
  <si>
    <t xml:space="preserve">Very high parts demand.</t>
  </si>
  <si>
    <t xml:space="preserve">Tier-2 brands</t>
  </si>
  <si>
    <t xml:space="preserve">High demand.</t>
  </si>
  <si>
    <t xml:space="preserve">Tier-3 brands</t>
  </si>
  <si>
    <t xml:space="preserve">Medium demand.</t>
  </si>
  <si>
    <t xml:space="preserve">Tier-4 brands</t>
  </si>
  <si>
    <t xml:space="preserve">Low / niche demand.</t>
  </si>
  <si>
    <t xml:space="preserve">Tier-1 models</t>
  </si>
  <si>
    <t xml:space="preserve">Tier-2 models</t>
  </si>
  <si>
    <t xml:space="preserve">Tier-3 models</t>
  </si>
  <si>
    <t xml:space="preserve">Tier-4 models</t>
  </si>
  <si>
    <t xml:space="preserve">Brands covered by ≥1 model</t>
  </si>
  <si>
    <t xml:space="preserve">FK coverage check — every brand should have at least one model.</t>
  </si>
  <si>
    <t xml:space="preserve">Average models per brand</t>
  </si>
  <si>
    <t xml:space="preserve">Depth of coverage.</t>
  </si>
  <si>
    <t xml:space="preserve">4️⃣ Hierarchy View</t>
  </si>
  <si>
    <t xml:space="preserve">Visual reference of the V1 data hierarchy: Vehicle Category → Brand → Model</t>
  </si>
  <si>
    <t xml:space="preserve">• This sheet documents the ONLY hierarchy allowed in the V1 structure. Anything deeper (family, generation, engine, trim) is out of scope until V2 of the Standard.</t>
  </si>
  <si>
    <t xml:space="preserve">• The example below uses real rows from this dataset. It is illustrative — the data sheets remain the source of truth.</t>
  </si>
  <si>
    <t xml:space="preserve">• Every Model rolls up to exactly one Brand, and every Brand belongs to this dataset's single Vehicle Category: lcv.</t>
  </si>
  <si>
    <t xml:space="preserve">The V1 Hierarchy</t>
  </si>
  <si>
    <t xml:space="preserve">LEVEL 1 — Vehicle Category</t>
  </si>
  <si>
    <t xml:space="preserve">This dataset covers a single category: lcv.</t>
  </si>
  <si>
    <t xml:space="preserve">↓</t>
  </si>
  <si>
    <t xml:space="preserve">LEVEL 2 — Brand</t>
  </si>
  <si>
    <t xml:space="preserve">Manufacturer / marque. Stored on 1️⃣ Brands. Unique per dataset.</t>
  </si>
  <si>
    <t xml:space="preserve">LEVEL 3 — Model</t>
  </si>
  <si>
    <t xml:space="preserve">Commercial model name. Stored on 2️⃣ Models. Belongs to exactly one Brand.</t>
  </si>
  <si>
    <t xml:space="preserve">Worked Example (from this dataset)</t>
  </si>
  <si>
    <t xml:space="preserve">Vehicle Category — this dataset</t>
  </si>
  <si>
    <t xml:space="preserve">   └─ Renault</t>
  </si>
  <si>
    <t xml:space="preserve">Brand — BRD-0006</t>
  </si>
  <si>
    <t xml:space="preserve">        └─ Kangoo</t>
  </si>
  <si>
    <t xml:space="preserve">Model — MDL-0022</t>
  </si>
  <si>
    <t xml:space="preserve">        └─ Master</t>
  </si>
  <si>
    <t xml:space="preserve">Model — MDL-0023</t>
  </si>
  <si>
    <t xml:space="preserve">   └─ Toyota</t>
  </si>
  <si>
    <t xml:space="preserve">Brand — BRD-0007</t>
  </si>
  <si>
    <t xml:space="preserve">        └─ Hilux</t>
  </si>
  <si>
    <t xml:space="preserve">Model — MDL-0026</t>
  </si>
  <si>
    <t xml:space="preserve">        └─ Hiace</t>
  </si>
  <si>
    <t xml:space="preserve">Model — MDL-0027</t>
  </si>
  <si>
    <t xml:space="preserve">   └─ Kia</t>
  </si>
  <si>
    <t xml:space="preserve">Brand — BRD-0004</t>
  </si>
  <si>
    <t xml:space="preserve">        └─ K2700</t>
  </si>
  <si>
    <t xml:space="preserve">Model — MDL-0012</t>
  </si>
  <si>
    <t xml:space="preserve">5️⃣ Database Mapping</t>
  </si>
  <si>
    <t xml:space="preserve">How every workbook column lands in the PieceFacile Supabase/PostgreSQL schema</t>
  </si>
  <si>
    <t xml:space="preserve">• Three DB tables receive this data: vehicle_categories, brands, models. Import in that order (parents first).</t>
  </si>
  <si>
    <t xml:space="preserve">• Primary keys (id) are generated by Postgres (identity/uuid). Workbook IDs are stored as external_ref for traceability and idempotent re-imports.</t>
  </si>
  <si>
    <t xml:space="preserve">• Every mapping row below is normative: importers must not rename, retype, or skip columns.</t>
  </si>
  <si>
    <t xml:space="preserve">Sheet the source column lives on.</t>
  </si>
  <si>
    <t xml:space="preserve">Exact column header in this workbook.</t>
  </si>
  <si>
    <t xml:space="preserve">Target table in the PieceFacile schema.</t>
  </si>
  <si>
    <t xml:space="preserve">Target column name (snake_case).</t>
  </si>
  <si>
    <t xml:space="preserve">Column type in PostgreSQL/Supabase.</t>
  </si>
  <si>
    <t xml:space="preserve">NOT NULL / UNIQUE / FK / CHECK rules the importer must enforce.</t>
  </si>
  <si>
    <t xml:space="preserve">Workbook Sheet</t>
  </si>
  <si>
    <t xml:space="preserve">Workbook Column</t>
  </si>
  <si>
    <t xml:space="preserve">DB Table</t>
  </si>
  <si>
    <t xml:space="preserve">DB Column</t>
  </si>
  <si>
    <t xml:space="preserve">PostgreSQL Type</t>
  </si>
  <si>
    <t xml:space="preserve">Constraint / Rule</t>
  </si>
  <si>
    <t xml:space="preserve">📋 Overview</t>
  </si>
  <si>
    <t xml:space="preserve">vehicle_categories</t>
  </si>
  <si>
    <t xml:space="preserve">name</t>
  </si>
  <si>
    <t xml:space="preserve">text</t>
  </si>
  <si>
    <t xml:space="preserve">NOT NULL, UNIQUE. This dataset: 'Light Commercial Vehicles'.</t>
  </si>
  <si>
    <t xml:space="preserve">Category (slugified)</t>
  </si>
  <si>
    <t xml:space="preserve">slug</t>
  </si>
  <si>
    <t xml:space="preserve">NOT NULL, UNIQUE. This dataset: 'lcv'.</t>
  </si>
  <si>
    <t xml:space="preserve">—</t>
  </si>
  <si>
    <t xml:space="preserve">(generated)</t>
  </si>
  <si>
    <t xml:space="preserve">id</t>
  </si>
  <si>
    <t xml:space="preserve">bigint identity</t>
  </si>
  <si>
    <t xml:space="preserve">PRIMARY KEY. Generated by Postgres.</t>
  </si>
  <si>
    <t xml:space="preserve">brands</t>
  </si>
  <si>
    <t xml:space="preserve">external_ref</t>
  </si>
  <si>
    <t xml:space="preserve">NOT NULL, UNIQUE. Business key BRD-#### from this workbook.</t>
  </si>
  <si>
    <t xml:space="preserve">NOT NULL, UNIQUE within category.</t>
  </si>
  <si>
    <t xml:space="preserve">NOT NULL, UNIQUE. CHECK: matches ^[a-z0-9]+(-[a-z0-9]+)*$.</t>
  </si>
  <si>
    <t xml:space="preserve">country</t>
  </si>
  <si>
    <t xml:space="preserve">NULLABLE. ISO English country name.</t>
  </si>
  <si>
    <t xml:space="preserve">parent_group</t>
  </si>
  <si>
    <t xml:space="preserve">NULLABLE.</t>
  </si>
  <si>
    <t xml:space="preserve">alt_names</t>
  </si>
  <si>
    <t xml:space="preserve">text[]</t>
  </si>
  <si>
    <t xml:space="preserve">NULLABLE. Split the comma-separated list into a Postgres array.</t>
  </si>
  <si>
    <t xml:space="preserve">dz_tier</t>
  </si>
  <si>
    <t xml:space="preserve">smallint</t>
  </si>
  <si>
    <t xml:space="preserve">NOT NULL. CHECK (dz_tier BETWEEN 1 AND 4).</t>
  </si>
  <si>
    <t xml:space="preserve">status</t>
  </si>
  <si>
    <t xml:space="preserve">NOT NULL. CHECK (status IN ('active','draft')). Import 'active' only.</t>
  </si>
  <si>
    <t xml:space="preserve">notes</t>
  </si>
  <si>
    <t xml:space="preserve">(derived from file)</t>
  </si>
  <si>
    <t xml:space="preserve">category_id</t>
  </si>
  <si>
    <t xml:space="preserve">bigint</t>
  </si>
  <si>
    <t xml:space="preserve">NOT NULL. FK → vehicle_categories(id).</t>
  </si>
  <si>
    <t xml:space="preserve">models</t>
  </si>
  <si>
    <t xml:space="preserve">NOT NULL, UNIQUE. Business key MDL-#### from this workbook.</t>
  </si>
  <si>
    <t xml:space="preserve">brand_id</t>
  </si>
  <si>
    <t xml:space="preserve">NOT NULL. FK → brands(id), resolved via brands.external_ref.</t>
  </si>
  <si>
    <t xml:space="preserve">NOT NULL. UNIQUE together with brand_id.</t>
  </si>
  <si>
    <t xml:space="preserve">NOT NULL, UNIQUE globally. Format &lt;brand-slug&gt;-&lt;model-slug&gt;.</t>
  </si>
  <si>
    <t xml:space="preserve">vehicle_type</t>
  </si>
  <si>
    <t xml:space="preserve">NOT NULL. CHECK against the seven category codes; 'lcv' here.</t>
  </si>
  <si>
    <t xml:space="preserve">NULLABLE. Split comma-separated list into array.</t>
  </si>
  <si>
    <t xml:space="preserve">(not stored)</t>
  </si>
  <si>
    <t xml:space="preserve">Display-only redundancy in the workbook. Validate it matches brands.name, then drop.</t>
  </si>
  <si>
    <t xml:space="preserve">6️⃣ Import Rules</t>
  </si>
  <si>
    <t xml:space="preserve">Validation contract — every dataset must pass all rules before import into Supabase</t>
  </si>
  <si>
    <t xml:space="preserve">• Run through every section below before importing. A dataset that violates any rule marked REQUIRED must be rejected.</t>
  </si>
  <si>
    <t xml:space="preserve">• These rules apply identically to all seven dataset categories. No category-specific exceptions in V1.</t>
  </si>
  <si>
    <t xml:space="preserve">Required Fields (import must fail if blank)</t>
  </si>
  <si>
    <t xml:space="preserve">Sheet</t>
  </si>
  <si>
    <t xml:space="preserve">Required Columns</t>
  </si>
  <si>
    <t xml:space="preserve">Why</t>
  </si>
  <si>
    <t xml:space="preserve">Brand ID · Brand Name · Slug · Popularity Algeria · Status</t>
  </si>
  <si>
    <t xml:space="preserve">Identity, display, routing, DZ prioritization, import gate.</t>
  </si>
  <si>
    <t xml:space="preserve">Model ID · Brand ID · Brand Name · Model Name · Slug · Vehicle Type · Popularity Algeria · Status</t>
  </si>
  <si>
    <t xml:space="preserve">Identity, FK integrity, display, routing, category, prioritization, import gate.</t>
  </si>
  <si>
    <t xml:space="preserve">Dataset Name · Category · Version · Market · Last Update</t>
  </si>
  <si>
    <t xml:space="preserve">Provenance and versioning of every published dataset.</t>
  </si>
  <si>
    <t xml:space="preserve">Optional Fields</t>
  </si>
  <si>
    <t xml:space="preserve">Optional Columns</t>
  </si>
  <si>
    <t xml:space="preserve">Behavior when blank</t>
  </si>
  <si>
    <t xml:space="preserve">Country · Parent Group · Alternative Names · Notes</t>
  </si>
  <si>
    <t xml:space="preserve">Imported as NULL / empty array. Never invent values.</t>
  </si>
  <si>
    <t xml:space="preserve">Alternative Names · Notes</t>
  </si>
  <si>
    <t xml:space="preserve">Imported as NULL / empty array.</t>
  </si>
  <si>
    <t xml:space="preserve">Unique Constraints</t>
  </si>
  <si>
    <t xml:space="preserve">Constraint</t>
  </si>
  <si>
    <t xml:space="preserve">Enforcement</t>
  </si>
  <si>
    <t xml:space="preserve">Brands</t>
  </si>
  <si>
    <t xml:space="preserve">Brand ID unique · Brand Name unique · Slug unique</t>
  </si>
  <si>
    <t xml:space="preserve">Reject the whole file on any duplicate (REQUIRED).</t>
  </si>
  <si>
    <t xml:space="preserve">Models</t>
  </si>
  <si>
    <t xml:space="preserve">Model ID unique · Slug unique globally · (Brand ID + Model Name) unique</t>
  </si>
  <si>
    <t xml:space="preserve">Cross-sheet</t>
  </si>
  <si>
    <t xml:space="preserve">Every Models.Brand ID must exist on Brands; Models.Brand Name must equal the referenced brand's name</t>
  </si>
  <si>
    <t xml:space="preserve">Referential integrity check before import (REQUIRED).</t>
  </si>
  <si>
    <t xml:space="preserve">Slug Rules</t>
  </si>
  <si>
    <t xml:space="preserve">Rule</t>
  </si>
  <si>
    <t xml:space="preserve">Definition</t>
  </si>
  <si>
    <t xml:space="preserve">Examples</t>
  </si>
  <si>
    <t xml:space="preserve">Charset</t>
  </si>
  <si>
    <t xml:space="preserve">Lowercase ASCII letters, digits, single hyphens. No spaces, accents, Arabic script, underscores, or leading/trailing hyphens. Regex: ^[a-z0-9]+(-[a-z0-9]+)*$</t>
  </si>
  <si>
    <t xml:space="preserve">'toyota' ✓ · 'Toyota' ✗ · 'to_yota' ✗</t>
  </si>
  <si>
    <t xml:space="preserve">Transliteration</t>
  </si>
  <si>
    <t xml:space="preserve">Accented and non-Latin names are transliterated to ASCII before slugging.</t>
  </si>
  <si>
    <t xml:space="preserve">'Citroën' → 'citroen' · 'بيجو' → use official Latin name 'peugeot'</t>
  </si>
  <si>
    <t xml:space="preserve">Brand slug</t>
  </si>
  <si>
    <t xml:space="preserve">Derived from Brand Name only.</t>
  </si>
  <si>
    <t xml:space="preserve">'Mercedes-Benz' → 'mercedes-benz'</t>
  </si>
  <si>
    <t xml:space="preserve">Model slug</t>
  </si>
  <si>
    <t xml:space="preserve">Always prefixed with the brand slug: &lt;brand-slug&gt;-&lt;model-slug&gt;. Guarantees global uniqueness.</t>
  </si>
  <si>
    <t xml:space="preserve">'renault-kangoo' · 'toyota-hilux'</t>
  </si>
  <si>
    <t xml:space="preserve">Stability</t>
  </si>
  <si>
    <t xml:space="preserve">Slugs are permanent once published. Renames create a new row; never edit a published slug.</t>
  </si>
  <si>
    <t xml:space="preserve">Prevents broken URLs and FK drift.</t>
  </si>
  <si>
    <t xml:space="preserve">Normalization Rules</t>
  </si>
  <si>
    <t xml:space="preserve">Field</t>
  </si>
  <si>
    <t xml:space="preserve">Brand / Model Name</t>
  </si>
  <si>
    <t xml:space="preserve">Official Latin spelling, trimmed, single internal spaces, proper case as branded. No trim levels or engine codes in the name.</t>
  </si>
  <si>
    <t xml:space="preserve">'Kangoo' ✓ · 'Kangoo 1.5 dCi' ✗</t>
  </si>
  <si>
    <t xml:space="preserve">Comma-separated, trimmed, deduplicated. May contain Arabic/French variants — these live here, never in the main Name.</t>
  </si>
  <si>
    <t xml:space="preserve">'بونغو' · 'Fuso Canter'</t>
  </si>
  <si>
    <t xml:space="preserve">Full ISO English country name.</t>
  </si>
  <si>
    <t xml:space="preserve">'France' ✓ · 'FR' ✗</t>
  </si>
  <si>
    <t xml:space="preserve">Popularity Algeria (dz_tier)</t>
  </si>
  <si>
    <t xml:space="preserve">Integer 1–4 only. 1 = very high parts demand · 2 = high · 3 = medium · 4 = low/niche. Judged Algeria-first: installed fleet, aging fleets still needing parts, local assembly.</t>
  </si>
  <si>
    <t xml:space="preserve">'1' ✓ · 'High' ✗</t>
  </si>
  <si>
    <t xml:space="preserve">Exactly 'active' or 'draft', lowercase.</t>
  </si>
  <si>
    <t xml:space="preserve">'Active' ✗</t>
  </si>
  <si>
    <t xml:space="preserve">Dates</t>
  </si>
  <si>
    <t xml:space="preserve">ISO 8601 (YYYY-MM-DD), stored as text on the Overview sheet.</t>
  </si>
  <si>
    <t xml:space="preserve">'2026-07-02'</t>
  </si>
  <si>
    <t xml:space="preserve">Text encoding</t>
  </si>
  <si>
    <t xml:space="preserve">UTF-8 throughout. CSV exports must be UTF-8 (no BOM issues into Postgres COPY).</t>
  </si>
  <si>
    <t xml:space="preserve">Duplicate Handling</t>
  </si>
  <si>
    <t xml:space="preserve">Scenario</t>
  </si>
  <si>
    <t xml:space="preserve">Resolution</t>
  </si>
  <si>
    <t xml:space="preserve">Same brand appears twice with different spellings</t>
  </si>
  <si>
    <t xml:space="preserve">Keep one canonical row; move the other spelling into Alternative Names.</t>
  </si>
  <si>
    <t xml:space="preserve">e.g. 'Dongfeng Sokon' folded into 'DFSK'.</t>
  </si>
  <si>
    <t xml:space="preserve">Same model under two brands (rebadge)</t>
  </si>
  <si>
    <t xml:space="preserve">Create one row per brand. Cross-reference in Notes; do not merge.</t>
  </si>
  <si>
    <t xml:space="preserve">e.g. Partner/Berlingo-type platform twins listed under each marque.</t>
  </si>
  <si>
    <t xml:space="preserve">Re-import of an existing dataset</t>
  </si>
  <si>
    <t xml:space="preserve">Upsert on external_ref (Brand ID / Model ID). Update mutable fields; never change slug or external_ref.</t>
  </si>
  <si>
    <t xml:space="preserve">Guarantees idempotent imports into Supabase.</t>
  </si>
  <si>
    <t xml:space="preserve">Row deleted from the workbook</t>
  </si>
  <si>
    <t xml:space="preserve">Do NOT hard-delete in DB. Set status to 'draft' (soft retire) to preserve references from parts requests.</t>
  </si>
  <si>
    <t xml:space="preserve">Marketplace history must never break.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</si>
</sst>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5EBC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1F2937"/>
      <name val="Arial"/>
      <family val="0"/>
      <charset val="1"/>
    </font>
    <font>
      <i val="true"/>
      <sz val="8"/>
      <color rgb="FF5B6472"/>
      <name val="Arial"/>
      <family val="0"/>
      <charset val="1"/>
    </font>
    <font>
      <b val="true"/>
      <sz val="11"/>
      <color rgb="FF1E7A46"/>
      <name val="Arial"/>
      <family val="0"/>
      <charset val="1"/>
    </font>
    <font>
      <b val="true"/>
      <sz val="8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4"/>
      <color rgb="FFC9A227"/>
      <name val="Arial"/>
      <family val="0"/>
      <charset val="1"/>
    </font>
    <font>
      <sz val="10"/>
      <color rgb="FF3B4A6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1F2937"/>
      </patternFill>
    </fill>
    <fill>
      <patternFill patternType="solid">
        <fgColor rgb="FFF5EBCF"/>
        <bgColor rgb="FFF2F4F8"/>
      </patternFill>
    </fill>
    <fill>
      <patternFill patternType="solid">
        <fgColor rgb="FFF2F4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 style="thin">
        <color rgb="FFC7CDD8"/>
      </left>
      <right style="thin">
        <color rgb="FFC7CDD8"/>
      </right>
      <top style="thin">
        <color rgb="FFC7CDD8"/>
      </top>
      <bottom style="thin">
        <color rgb="FFC7CD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6"/>
      <rgbColor rgb="FFC0C0C0"/>
      <rgbColor rgb="FF808080"/>
      <rgbColor rgb="FF9999FF"/>
      <rgbColor rgb="FF993366"/>
      <rgbColor rgb="FFF5EBCF"/>
      <rgbColor rgb="FFF2F4F8"/>
      <rgbColor rgb="FF660066"/>
      <rgbColor rgb="FFFF8080"/>
      <rgbColor rgb="FF0066CC"/>
      <rgbColor rgb="FFC7CD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B6472"/>
      <rgbColor rgb="FF969696"/>
      <rgbColor rgb="FF1B2A4A"/>
      <rgbColor rgb="FF339966"/>
      <rgbColor rgb="FF003300"/>
      <rgbColor rgb="FF333300"/>
      <rgbColor rgb="FF993300"/>
      <rgbColor rgb="FF993366"/>
      <rgbColor rgb="FF3B4A6B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Brands" displayName="tblBrands" ref="A12:I32" headerRowCount="1" totalsRowCount="0" totalsRowShown="0">
  <autoFilter ref="A12:I32"/>
  <tableColumns count="9">
    <tableColumn id="1" name="Brand ID"/>
    <tableColumn id="2" name="Brand Name"/>
    <tableColumn id="3" name="Slug"/>
    <tableColumn id="4" name="Country"/>
    <tableColumn id="5" name="Parent Group"/>
    <tableColumn id="6" name="Alternative Names"/>
    <tableColumn id="7" name="Popularity Algeria"/>
    <tableColumn id="8" name="Status"/>
    <tableColumn id="9" name="Notes"/>
  </tableColumns>
</table>
</file>

<file path=xl/tables/table2.xml><?xml version="1.0" encoding="utf-8"?>
<table xmlns="http://schemas.openxmlformats.org/spreadsheetml/2006/main" id="2" name="tblDupes" displayName="tblDupes" ref="A44:C48" headerRowCount="1" totalsRowCount="0" totalsRowShown="0">
  <autoFilter ref="A44:C48"/>
  <tableColumns count="3">
    <tableColumn id="1" name="Scenario"/>
    <tableColumn id="2" name="Resolution"/>
    <tableColumn id="3" name="Notes"/>
  </tableColumns>
</table>
</file>

<file path=xl/tables/table3.xml><?xml version="1.0" encoding="utf-8"?>
<table xmlns="http://schemas.openxmlformats.org/spreadsheetml/2006/main" id="3" name="tblMapping" displayName="tblMapping" ref="A11:F36" headerRowCount="1" totalsRowCount="0" totalsRowShown="0">
  <autoFilter ref="A11:F36"/>
  <tableColumns count="6">
    <tableColumn id="1" name="Workbook Sheet"/>
    <tableColumn id="2" name="Workbook Column"/>
    <tableColumn id="3" name="DB Table"/>
    <tableColumn id="4" name="DB Column"/>
    <tableColumn id="5" name="PostgreSQL Type"/>
    <tableColumn id="6" name="Constraint / Rule"/>
  </tableColumns>
</table>
</file>

<file path=xl/tables/table4.xml><?xml version="1.0" encoding="utf-8"?>
<table xmlns="http://schemas.openxmlformats.org/spreadsheetml/2006/main" id="4" name="tblModels" displayName="tblModels" ref="A13:J79" headerRowCount="1" totalsRowCount="0" totalsRowShown="0">
  <autoFilter ref="A13:J79"/>
  <tableColumns count="10">
    <tableColumn id="1" name="Model ID"/>
    <tableColumn id="2" name="Brand ID"/>
    <tableColumn id="3" name="Brand Name"/>
    <tableColumn id="4" name="Model Name"/>
    <tableColumn id="5" name="Slug"/>
    <tableColumn id="6" name="Vehicle Type"/>
    <tableColumn id="7" name="Alternative Names"/>
    <tableColumn id="8" name="Popularity Algeria"/>
    <tableColumn id="9" name="Status"/>
    <tableColumn id="10" name="Notes"/>
  </tableColumns>
</table>
</file>

<file path=xl/tables/table5.xml><?xml version="1.0" encoding="utf-8"?>
<table xmlns="http://schemas.openxmlformats.org/spreadsheetml/2006/main" id="5" name="tblNorm" displayName="tblNorm" ref="A34:C41" headerRowCount="1" totalsRowCount="0" totalsRowShown="0">
  <autoFilter ref="A34:C41"/>
  <tableColumns count="3">
    <tableColumn id="1" name="Field"/>
    <tableColumn id="2" name="Rule"/>
    <tableColumn id="3" name="Examples"/>
  </tableColumns>
</table>
</file>

<file path=xl/tables/table6.xml><?xml version="1.0" encoding="utf-8"?>
<table xmlns="http://schemas.openxmlformats.org/spreadsheetml/2006/main" id="6" name="tblOptFields" displayName="tblOptFields" ref="A15:C17" headerRowCount="1" totalsRowCount="0" totalsRowShown="0">
  <autoFilter ref="A15:C17"/>
  <tableColumns count="3">
    <tableColumn id="1" name="Sheet"/>
    <tableColumn id="2" name="Optional Columns"/>
    <tableColumn id="3" name="Behavior when blank"/>
  </tableColumns>
</table>
</file>

<file path=xl/tables/table7.xml><?xml version="1.0" encoding="utf-8"?>
<table xmlns="http://schemas.openxmlformats.org/spreadsheetml/2006/main" id="7" name="tblReqFields" displayName="tblReqFields" ref="A9:C12" headerRowCount="1" totalsRowCount="0" totalsRowShown="0">
  <autoFilter ref="A9:C12"/>
  <tableColumns count="3">
    <tableColumn id="1" name="Sheet"/>
    <tableColumn id="2" name="Required Columns"/>
    <tableColumn id="3" name="Why"/>
  </tableColumns>
</table>
</file>

<file path=xl/tables/table8.xml><?xml version="1.0" encoding="utf-8"?>
<table xmlns="http://schemas.openxmlformats.org/spreadsheetml/2006/main" id="8" name="tblSlugs" displayName="tblSlugs" ref="A26:C31" headerRowCount="1" totalsRowCount="0" totalsRowShown="0">
  <autoFilter ref="A26:C31"/>
  <tableColumns count="3">
    <tableColumn id="1" name="Rule"/>
    <tableColumn id="2" name="Definition"/>
    <tableColumn id="3" name="Examples"/>
  </tableColumns>
</table>
</file>

<file path=xl/tables/table9.xml><?xml version="1.0" encoding="utf-8"?>
<table xmlns="http://schemas.openxmlformats.org/spreadsheetml/2006/main" id="9" name="tblUnique" displayName="tblUnique" ref="A20:C23" headerRowCount="1" totalsRowCount="0" totalsRowShown="0">
  <autoFilter ref="A20:C23"/>
  <tableColumns count="3">
    <tableColumn id="1" name="Scope"/>
    <tableColumn id="2" name="Constraint"/>
    <tableColumn id="3" name="Enforce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5.xml"/><Relationship Id="rId3" Type="http://schemas.openxmlformats.org/officeDocument/2006/relationships/table" Target="../tables/table6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Relationship Id="rId6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3.5" hidden="false" customHeight="true" outlineLevel="0" collapsed="false">
      <c r="A4" s="3" t="s">
        <v>2</v>
      </c>
      <c r="B4" s="3"/>
      <c r="C4" s="3"/>
      <c r="D4" s="3"/>
    </row>
    <row r="5" customFormat="false" ht="25.5" hidden="false" customHeight="true" outlineLevel="0" collapsed="false">
      <c r="A5" s="4" t="s">
        <v>3</v>
      </c>
      <c r="B5" s="4"/>
      <c r="C5" s="4"/>
      <c r="D5" s="4"/>
    </row>
    <row r="6" customFormat="false" ht="25.5" hidden="false" customHeight="true" outlineLevel="0" collapsed="false">
      <c r="A6" s="4" t="s">
        <v>4</v>
      </c>
      <c r="B6" s="4"/>
      <c r="C6" s="4"/>
      <c r="D6" s="4"/>
    </row>
    <row r="7" customFormat="false" ht="25.5" hidden="false" customHeight="true" outlineLevel="0" collapsed="false">
      <c r="A7" s="4" t="s">
        <v>5</v>
      </c>
      <c r="B7" s="4"/>
      <c r="C7" s="4"/>
      <c r="D7" s="4"/>
    </row>
    <row r="8" customFormat="false" ht="25.5" hidden="false" customHeight="true" outlineLevel="0" collapsed="false">
      <c r="A8" s="4" t="s">
        <v>6</v>
      </c>
      <c r="B8" s="4"/>
      <c r="C8" s="4"/>
      <c r="D8" s="4"/>
    </row>
    <row r="10" customFormat="false" ht="19.5" hidden="false" customHeight="true" outlineLevel="0" collapsed="false">
      <c r="A10" s="5" t="s">
        <v>7</v>
      </c>
      <c r="B10" s="5"/>
      <c r="C10" s="5"/>
      <c r="D10" s="5"/>
    </row>
    <row r="11" customFormat="false" ht="27.75" hidden="false" customHeight="true" outlineLevel="0" collapsed="false">
      <c r="A11" s="6" t="s">
        <v>8</v>
      </c>
      <c r="B11" s="7" t="s">
        <v>9</v>
      </c>
      <c r="C11" s="8" t="s">
        <v>10</v>
      </c>
      <c r="D11" s="8"/>
    </row>
    <row r="12" customFormat="false" ht="27.75" hidden="false" customHeight="true" outlineLevel="0" collapsed="false">
      <c r="A12" s="6" t="s">
        <v>11</v>
      </c>
      <c r="B12" s="7" t="s">
        <v>12</v>
      </c>
      <c r="C12" s="8" t="s">
        <v>13</v>
      </c>
      <c r="D12" s="8"/>
    </row>
    <row r="13" customFormat="false" ht="27.75" hidden="false" customHeight="true" outlineLevel="0" collapsed="false">
      <c r="A13" s="6" t="s">
        <v>14</v>
      </c>
      <c r="B13" s="7" t="s">
        <v>15</v>
      </c>
      <c r="C13" s="8" t="s">
        <v>16</v>
      </c>
      <c r="D13" s="8"/>
    </row>
    <row r="14" customFormat="false" ht="27.75" hidden="false" customHeight="true" outlineLevel="0" collapsed="false">
      <c r="A14" s="6" t="s">
        <v>17</v>
      </c>
      <c r="B14" s="7" t="s">
        <v>18</v>
      </c>
      <c r="C14" s="8" t="s">
        <v>19</v>
      </c>
      <c r="D14" s="8"/>
    </row>
    <row r="15" customFormat="false" ht="27.75" hidden="false" customHeight="true" outlineLevel="0" collapsed="false">
      <c r="A15" s="6" t="s">
        <v>20</v>
      </c>
      <c r="B15" s="7" t="s">
        <v>21</v>
      </c>
      <c r="C15" s="8" t="s">
        <v>22</v>
      </c>
      <c r="D15" s="8"/>
    </row>
    <row r="16" customFormat="false" ht="27.75" hidden="false" customHeight="true" outlineLevel="0" collapsed="false">
      <c r="A16" s="6" t="s">
        <v>23</v>
      </c>
      <c r="B16" s="7" t="s">
        <v>24</v>
      </c>
      <c r="C16" s="8" t="s">
        <v>25</v>
      </c>
      <c r="D16" s="8"/>
    </row>
    <row r="17" customFormat="false" ht="27.75" hidden="false" customHeight="true" outlineLevel="0" collapsed="false">
      <c r="A17" s="6" t="s">
        <v>26</v>
      </c>
      <c r="B17" s="7" t="s">
        <v>27</v>
      </c>
      <c r="C17" s="8" t="s">
        <v>28</v>
      </c>
      <c r="D17" s="8"/>
    </row>
    <row r="18" customFormat="false" ht="27.75" hidden="false" customHeight="true" outlineLevel="0" collapsed="false">
      <c r="A18" s="6" t="s">
        <v>29</v>
      </c>
      <c r="B18" s="7" t="s">
        <v>30</v>
      </c>
      <c r="C18" s="8" t="s">
        <v>31</v>
      </c>
      <c r="D18" s="8"/>
    </row>
    <row r="19" customFormat="false" ht="27.75" hidden="false" customHeight="true" outlineLevel="0" collapsed="false">
      <c r="A19" s="6" t="s">
        <v>32</v>
      </c>
      <c r="B19" s="7" t="s">
        <v>33</v>
      </c>
      <c r="C19" s="8" t="s">
        <v>34</v>
      </c>
      <c r="D19" s="8"/>
    </row>
    <row r="21" customFormat="false" ht="19.5" hidden="false" customHeight="true" outlineLevel="0" collapsed="false">
      <c r="A21" s="5" t="s">
        <v>35</v>
      </c>
      <c r="B21" s="5"/>
      <c r="C21" s="5"/>
      <c r="D21" s="5"/>
    </row>
    <row r="22" customFormat="false" ht="19.5" hidden="false" customHeight="true" outlineLevel="0" collapsed="false">
      <c r="A22" s="6" t="s">
        <v>36</v>
      </c>
      <c r="B22" s="9" t="n">
        <f aca="false">COUNTA(tblBrands[Brand ID])</f>
        <v>20</v>
      </c>
      <c r="C22" s="8" t="s">
        <v>37</v>
      </c>
      <c r="D22" s="8"/>
    </row>
    <row r="23" customFormat="false" ht="19.5" hidden="false" customHeight="true" outlineLevel="0" collapsed="false">
      <c r="A23" s="6" t="s">
        <v>38</v>
      </c>
      <c r="B23" s="9" t="n">
        <f aca="false">COUNTA(tblModels[Model ID])</f>
        <v>66</v>
      </c>
      <c r="C23" s="8" t="s">
        <v>37</v>
      </c>
      <c r="D23" s="8"/>
    </row>
    <row r="24" customFormat="false" ht="19.5" hidden="false" customHeight="true" outlineLevel="0" collapsed="false">
      <c r="A24" s="6" t="s">
        <v>39</v>
      </c>
      <c r="B24" s="9" t="n">
        <f aca="false">COUNTIF(tblBrands[Status],"active")</f>
        <v>20</v>
      </c>
      <c r="C24" s="8" t="s">
        <v>37</v>
      </c>
      <c r="D24" s="8"/>
    </row>
    <row r="25" customFormat="false" ht="19.5" hidden="false" customHeight="true" outlineLevel="0" collapsed="false">
      <c r="A25" s="6" t="s">
        <v>40</v>
      </c>
      <c r="B25" s="9" t="n">
        <f aca="false">COUNTIF(tblModels[Status],"active")</f>
        <v>66</v>
      </c>
      <c r="C25" s="8" t="s">
        <v>37</v>
      </c>
      <c r="D25" s="8"/>
    </row>
    <row r="27" customFormat="false" ht="19.5" hidden="false" customHeight="true" outlineLevel="0" collapsed="false">
      <c r="A27" s="5" t="s">
        <v>41</v>
      </c>
      <c r="B27" s="5"/>
      <c r="C27" s="5"/>
      <c r="D27" s="5"/>
    </row>
    <row r="28" customFormat="false" ht="15" hidden="false" customHeight="true" outlineLevel="0" collapsed="false">
      <c r="A28" s="10" t="s">
        <v>42</v>
      </c>
      <c r="B28" s="10"/>
      <c r="C28" s="10"/>
      <c r="D28" s="10"/>
    </row>
    <row r="29" customFormat="false" ht="15" hidden="false" customHeight="true" outlineLevel="0" collapsed="false">
      <c r="A29" s="10" t="s">
        <v>43</v>
      </c>
      <c r="B29" s="10"/>
      <c r="C29" s="10"/>
      <c r="D29" s="10"/>
    </row>
    <row r="30" customFormat="false" ht="25.5" hidden="false" customHeight="true" outlineLevel="0" collapsed="false">
      <c r="A30" s="10" t="s">
        <v>44</v>
      </c>
      <c r="B30" s="10"/>
      <c r="C30" s="10"/>
      <c r="D30" s="10"/>
    </row>
    <row r="31" customFormat="false" ht="25.5" hidden="false" customHeight="true" outlineLevel="0" collapsed="false">
      <c r="A31" s="10" t="s">
        <v>45</v>
      </c>
      <c r="B31" s="10"/>
      <c r="C31" s="10"/>
      <c r="D31" s="10"/>
    </row>
    <row r="32" customFormat="false" ht="15" hidden="false" customHeight="true" outlineLevel="0" collapsed="false">
      <c r="A32" s="10" t="s">
        <v>46</v>
      </c>
      <c r="B32" s="10"/>
      <c r="C32" s="10"/>
      <c r="D32" s="10"/>
    </row>
  </sheetData>
  <mergeCells count="28">
    <mergeCell ref="A1:D1"/>
    <mergeCell ref="A2:D2"/>
    <mergeCell ref="A4:D4"/>
    <mergeCell ref="A5:D5"/>
    <mergeCell ref="A6:D6"/>
    <mergeCell ref="A7:D7"/>
    <mergeCell ref="A8:D8"/>
    <mergeCell ref="A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1:D21"/>
    <mergeCell ref="C22:D22"/>
    <mergeCell ref="C23:D23"/>
    <mergeCell ref="C24:D24"/>
    <mergeCell ref="C25:D25"/>
    <mergeCell ref="A27:D27"/>
    <mergeCell ref="A28:D28"/>
    <mergeCell ref="A29:D29"/>
    <mergeCell ref="A30:D30"/>
    <mergeCell ref="A31:D31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30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</row>
    <row r="4" customFormat="false" ht="13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3.5" hidden="false" customHeight="true" outlineLevel="0" collapsed="false">
      <c r="A5" s="4" t="s">
        <v>49</v>
      </c>
      <c r="B5" s="4"/>
      <c r="C5" s="4"/>
      <c r="D5" s="4"/>
      <c r="E5" s="4"/>
      <c r="F5" s="4"/>
      <c r="G5" s="4"/>
      <c r="H5" s="4"/>
      <c r="I5" s="4"/>
    </row>
    <row r="6" customFormat="false" ht="13.5" hidden="false" customHeight="true" outlineLevel="0" collapsed="false">
      <c r="A6" s="4" t="s">
        <v>50</v>
      </c>
      <c r="B6" s="4"/>
      <c r="C6" s="4"/>
      <c r="D6" s="4"/>
      <c r="E6" s="4"/>
      <c r="F6" s="4"/>
      <c r="G6" s="4"/>
      <c r="H6" s="4"/>
      <c r="I6" s="4"/>
    </row>
    <row r="7" customFormat="false" ht="25.5" hidden="false" customHeight="true" outlineLevel="0" collapsed="false">
      <c r="A7" s="4" t="s">
        <v>51</v>
      </c>
      <c r="B7" s="4"/>
      <c r="C7" s="4"/>
      <c r="D7" s="4"/>
      <c r="E7" s="4"/>
      <c r="F7" s="4"/>
      <c r="G7" s="4"/>
      <c r="H7" s="4"/>
      <c r="I7" s="4"/>
    </row>
    <row r="8" customFormat="false" ht="25.5" hidden="false" customHeight="true" outlineLevel="0" collapsed="false">
      <c r="A8" s="4" t="s">
        <v>52</v>
      </c>
      <c r="B8" s="4"/>
      <c r="C8" s="4"/>
      <c r="D8" s="4"/>
      <c r="E8" s="4"/>
      <c r="F8" s="4"/>
      <c r="G8" s="4"/>
      <c r="H8" s="4"/>
      <c r="I8" s="4"/>
    </row>
    <row r="10" customFormat="false" ht="15" hidden="false" customHeight="false" outlineLevel="0" collapsed="false">
      <c r="A10" s="11" t="s">
        <v>53</v>
      </c>
    </row>
    <row r="11" customFormat="false" ht="51.75" hidden="false" customHeight="true" outlineLevel="0" collapsed="false">
      <c r="A11" s="12" t="s">
        <v>54</v>
      </c>
      <c r="B11" s="12" t="s">
        <v>55</v>
      </c>
      <c r="C11" s="12" t="s">
        <v>56</v>
      </c>
      <c r="D11" s="12" t="s">
        <v>57</v>
      </c>
      <c r="E11" s="12" t="s">
        <v>58</v>
      </c>
      <c r="F11" s="12" t="s">
        <v>59</v>
      </c>
      <c r="G11" s="12" t="s">
        <v>60</v>
      </c>
      <c r="H11" s="12" t="s">
        <v>61</v>
      </c>
      <c r="I11" s="12" t="s">
        <v>62</v>
      </c>
    </row>
    <row r="12" customFormat="false" ht="25.5" hidden="false" customHeight="true" outlineLevel="0" collapsed="false">
      <c r="A12" s="13" t="s">
        <v>63</v>
      </c>
      <c r="B12" s="13" t="s">
        <v>64</v>
      </c>
      <c r="C12" s="13" t="s">
        <v>65</v>
      </c>
      <c r="D12" s="13" t="s">
        <v>66</v>
      </c>
      <c r="E12" s="13" t="s">
        <v>67</v>
      </c>
      <c r="F12" s="13" t="s">
        <v>68</v>
      </c>
      <c r="G12" s="13" t="s">
        <v>69</v>
      </c>
      <c r="H12" s="13" t="s">
        <v>70</v>
      </c>
      <c r="I12" s="13" t="s">
        <v>71</v>
      </c>
    </row>
    <row r="13" customFormat="false" ht="30" hidden="false" customHeight="true" outlineLevel="0" collapsed="false">
      <c r="A13" s="7" t="s">
        <v>72</v>
      </c>
      <c r="B13" s="7" t="s">
        <v>73</v>
      </c>
      <c r="C13" s="7" t="s">
        <v>74</v>
      </c>
      <c r="D13" s="7" t="s">
        <v>75</v>
      </c>
      <c r="E13" s="7" t="s">
        <v>76</v>
      </c>
      <c r="F13" s="7" t="s">
        <v>77</v>
      </c>
      <c r="G13" s="7" t="n">
        <v>1</v>
      </c>
      <c r="H13" s="7" t="s">
        <v>78</v>
      </c>
      <c r="I13" s="7" t="s">
        <v>79</v>
      </c>
    </row>
    <row r="14" customFormat="false" ht="30" hidden="false" customHeight="true" outlineLevel="0" collapsed="false">
      <c r="A14" s="7" t="s">
        <v>80</v>
      </c>
      <c r="B14" s="7" t="s">
        <v>81</v>
      </c>
      <c r="C14" s="7" t="s">
        <v>82</v>
      </c>
      <c r="D14" s="7" t="s">
        <v>83</v>
      </c>
      <c r="E14" s="7" t="s">
        <v>84</v>
      </c>
      <c r="F14" s="7" t="s">
        <v>85</v>
      </c>
      <c r="G14" s="7" t="n">
        <v>1</v>
      </c>
      <c r="H14" s="7" t="s">
        <v>78</v>
      </c>
      <c r="I14" s="7" t="s">
        <v>86</v>
      </c>
    </row>
    <row r="15" customFormat="false" ht="30" hidden="false" customHeight="true" outlineLevel="0" collapsed="false">
      <c r="A15" s="7" t="s">
        <v>87</v>
      </c>
      <c r="B15" s="7" t="s">
        <v>88</v>
      </c>
      <c r="C15" s="7" t="s">
        <v>89</v>
      </c>
      <c r="D15" s="7" t="s">
        <v>90</v>
      </c>
      <c r="E15" s="7" t="s">
        <v>91</v>
      </c>
      <c r="F15" s="7" t="s">
        <v>92</v>
      </c>
      <c r="G15" s="7" t="n">
        <v>1</v>
      </c>
      <c r="H15" s="7" t="s">
        <v>78</v>
      </c>
      <c r="I15" s="7" t="s">
        <v>93</v>
      </c>
    </row>
    <row r="16" customFormat="false" ht="30" hidden="false" customHeight="true" outlineLevel="0" collapsed="false">
      <c r="A16" s="7" t="s">
        <v>94</v>
      </c>
      <c r="B16" s="7" t="s">
        <v>95</v>
      </c>
      <c r="C16" s="7" t="s">
        <v>96</v>
      </c>
      <c r="D16" s="7" t="s">
        <v>90</v>
      </c>
      <c r="E16" s="7" t="s">
        <v>91</v>
      </c>
      <c r="F16" s="7" t="s">
        <v>97</v>
      </c>
      <c r="G16" s="7" t="n">
        <v>1</v>
      </c>
      <c r="H16" s="7" t="s">
        <v>78</v>
      </c>
      <c r="I16" s="7" t="s">
        <v>98</v>
      </c>
    </row>
    <row r="17" customFormat="false" ht="30" hidden="false" customHeight="true" outlineLevel="0" collapsed="false">
      <c r="A17" s="7" t="s">
        <v>99</v>
      </c>
      <c r="B17" s="7" t="s">
        <v>100</v>
      </c>
      <c r="C17" s="7" t="s">
        <v>101</v>
      </c>
      <c r="D17" s="7" t="s">
        <v>102</v>
      </c>
      <c r="E17" s="7" t="s">
        <v>84</v>
      </c>
      <c r="F17" s="7" t="s">
        <v>103</v>
      </c>
      <c r="G17" s="7" t="n">
        <v>1</v>
      </c>
      <c r="H17" s="7" t="s">
        <v>78</v>
      </c>
      <c r="I17" s="7" t="s">
        <v>104</v>
      </c>
    </row>
    <row r="18" customFormat="false" ht="30" hidden="false" customHeight="true" outlineLevel="0" collapsed="false">
      <c r="A18" s="7" t="s">
        <v>105</v>
      </c>
      <c r="B18" s="7" t="s">
        <v>106</v>
      </c>
      <c r="C18" s="7" t="s">
        <v>107</v>
      </c>
      <c r="D18" s="7" t="s">
        <v>102</v>
      </c>
      <c r="E18" s="7" t="s">
        <v>76</v>
      </c>
      <c r="F18" s="7" t="s">
        <v>108</v>
      </c>
      <c r="G18" s="7" t="n">
        <v>1</v>
      </c>
      <c r="H18" s="7" t="s">
        <v>78</v>
      </c>
      <c r="I18" s="7" t="s">
        <v>109</v>
      </c>
    </row>
    <row r="19" customFormat="false" ht="30" hidden="false" customHeight="true" outlineLevel="0" collapsed="false">
      <c r="A19" s="7" t="s">
        <v>110</v>
      </c>
      <c r="B19" s="7" t="s">
        <v>111</v>
      </c>
      <c r="C19" s="7" t="s">
        <v>112</v>
      </c>
      <c r="D19" s="7" t="s">
        <v>113</v>
      </c>
      <c r="E19" s="7" t="s">
        <v>114</v>
      </c>
      <c r="F19" s="7" t="s">
        <v>115</v>
      </c>
      <c r="G19" s="7" t="n">
        <v>1</v>
      </c>
      <c r="H19" s="7" t="s">
        <v>78</v>
      </c>
      <c r="I19" s="7" t="s">
        <v>116</v>
      </c>
    </row>
    <row r="20" customFormat="false" ht="30" hidden="false" customHeight="true" outlineLevel="0" collapsed="false">
      <c r="A20" s="7" t="s">
        <v>117</v>
      </c>
      <c r="B20" s="7" t="s">
        <v>118</v>
      </c>
      <c r="C20" s="7" t="s">
        <v>119</v>
      </c>
      <c r="D20" s="7" t="s">
        <v>102</v>
      </c>
      <c r="E20" s="7" t="s">
        <v>84</v>
      </c>
      <c r="F20" s="7" t="s">
        <v>120</v>
      </c>
      <c r="G20" s="7" t="n">
        <v>2</v>
      </c>
      <c r="H20" s="7" t="s">
        <v>78</v>
      </c>
      <c r="I20" s="7" t="s">
        <v>121</v>
      </c>
    </row>
    <row r="21" customFormat="false" ht="30" hidden="false" customHeight="true" outlineLevel="0" collapsed="false">
      <c r="A21" s="7" t="s">
        <v>122</v>
      </c>
      <c r="B21" s="7" t="s">
        <v>123</v>
      </c>
      <c r="C21" s="7" t="s">
        <v>124</v>
      </c>
      <c r="D21" s="7" t="s">
        <v>125</v>
      </c>
      <c r="E21" s="7" t="s">
        <v>126</v>
      </c>
      <c r="F21" s="7" t="s">
        <v>127</v>
      </c>
      <c r="G21" s="7" t="n">
        <v>2</v>
      </c>
      <c r="H21" s="7" t="s">
        <v>78</v>
      </c>
      <c r="I21" s="7" t="s">
        <v>128</v>
      </c>
    </row>
    <row r="22" customFormat="false" ht="30" hidden="false" customHeight="true" outlineLevel="0" collapsed="false">
      <c r="A22" s="7" t="s">
        <v>129</v>
      </c>
      <c r="B22" s="7" t="s">
        <v>130</v>
      </c>
      <c r="C22" s="7" t="s">
        <v>131</v>
      </c>
      <c r="D22" s="7" t="s">
        <v>132</v>
      </c>
      <c r="E22" s="7" t="s">
        <v>133</v>
      </c>
      <c r="F22" s="7" t="s">
        <v>134</v>
      </c>
      <c r="G22" s="7" t="n">
        <v>2</v>
      </c>
      <c r="H22" s="7" t="s">
        <v>78</v>
      </c>
      <c r="I22" s="7" t="s">
        <v>135</v>
      </c>
    </row>
    <row r="23" customFormat="false" ht="30" hidden="false" customHeight="true" outlineLevel="0" collapsed="false">
      <c r="A23" s="7" t="s">
        <v>136</v>
      </c>
      <c r="B23" s="7" t="s">
        <v>137</v>
      </c>
      <c r="C23" s="7" t="s">
        <v>138</v>
      </c>
      <c r="D23" s="7" t="s">
        <v>113</v>
      </c>
      <c r="E23" s="7" t="s">
        <v>139</v>
      </c>
      <c r="F23" s="7" t="s">
        <v>140</v>
      </c>
      <c r="G23" s="7" t="n">
        <v>2</v>
      </c>
      <c r="H23" s="7" t="s">
        <v>78</v>
      </c>
      <c r="I23" s="7" t="s">
        <v>141</v>
      </c>
    </row>
    <row r="24" customFormat="false" ht="30" hidden="false" customHeight="true" outlineLevel="0" collapsed="false">
      <c r="A24" s="7" t="s">
        <v>142</v>
      </c>
      <c r="B24" s="7" t="s">
        <v>143</v>
      </c>
      <c r="C24" s="7" t="s">
        <v>144</v>
      </c>
      <c r="D24" s="7" t="s">
        <v>83</v>
      </c>
      <c r="E24" s="7" t="s">
        <v>145</v>
      </c>
      <c r="F24" s="7" t="s">
        <v>146</v>
      </c>
      <c r="G24" s="7" t="n">
        <v>2</v>
      </c>
      <c r="H24" s="7" t="s">
        <v>78</v>
      </c>
      <c r="I24" s="7" t="s">
        <v>147</v>
      </c>
    </row>
    <row r="25" customFormat="false" ht="30" hidden="false" customHeight="true" outlineLevel="0" collapsed="false">
      <c r="A25" s="7" t="s">
        <v>148</v>
      </c>
      <c r="B25" s="7" t="s">
        <v>149</v>
      </c>
      <c r="C25" s="7" t="s">
        <v>150</v>
      </c>
      <c r="D25" s="7" t="s">
        <v>125</v>
      </c>
      <c r="E25" s="7" t="s">
        <v>151</v>
      </c>
      <c r="F25" s="7" t="s">
        <v>152</v>
      </c>
      <c r="G25" s="7" t="n">
        <v>2</v>
      </c>
      <c r="H25" s="7" t="s">
        <v>78</v>
      </c>
      <c r="I25" s="7" t="s">
        <v>153</v>
      </c>
    </row>
    <row r="26" customFormat="false" ht="30" hidden="false" customHeight="true" outlineLevel="0" collapsed="false">
      <c r="A26" s="7" t="s">
        <v>154</v>
      </c>
      <c r="B26" s="7" t="s">
        <v>155</v>
      </c>
      <c r="C26" s="7" t="s">
        <v>156</v>
      </c>
      <c r="D26" s="7" t="s">
        <v>157</v>
      </c>
      <c r="E26" s="7" t="s">
        <v>158</v>
      </c>
      <c r="F26" s="7" t="s">
        <v>159</v>
      </c>
      <c r="G26" s="7" t="n">
        <v>2</v>
      </c>
      <c r="H26" s="7" t="s">
        <v>78</v>
      </c>
      <c r="I26" s="7" t="s">
        <v>160</v>
      </c>
    </row>
    <row r="27" customFormat="false" ht="30" hidden="false" customHeight="true" outlineLevel="0" collapsed="false">
      <c r="A27" s="7" t="s">
        <v>161</v>
      </c>
      <c r="B27" s="7" t="s">
        <v>162</v>
      </c>
      <c r="C27" s="7" t="s">
        <v>163</v>
      </c>
      <c r="D27" s="7" t="s">
        <v>113</v>
      </c>
      <c r="E27" s="7" t="s">
        <v>164</v>
      </c>
      <c r="F27" s="7" t="s">
        <v>165</v>
      </c>
      <c r="G27" s="7" t="n">
        <v>2</v>
      </c>
      <c r="H27" s="7" t="s">
        <v>78</v>
      </c>
      <c r="I27" s="7" t="s">
        <v>166</v>
      </c>
    </row>
    <row r="28" customFormat="false" ht="30" hidden="false" customHeight="true" outlineLevel="0" collapsed="false">
      <c r="A28" s="7" t="s">
        <v>167</v>
      </c>
      <c r="B28" s="7" t="s">
        <v>168</v>
      </c>
      <c r="C28" s="7" t="s">
        <v>169</v>
      </c>
      <c r="D28" s="7" t="s">
        <v>113</v>
      </c>
      <c r="E28" s="7" t="s">
        <v>170</v>
      </c>
      <c r="F28" s="7" t="s">
        <v>171</v>
      </c>
      <c r="G28" s="7" t="n">
        <v>2</v>
      </c>
      <c r="H28" s="7" t="s">
        <v>78</v>
      </c>
      <c r="I28" s="7" t="s">
        <v>172</v>
      </c>
    </row>
    <row r="29" customFormat="false" ht="30" hidden="false" customHeight="true" outlineLevel="0" collapsed="false">
      <c r="A29" s="7" t="s">
        <v>173</v>
      </c>
      <c r="B29" s="7" t="s">
        <v>174</v>
      </c>
      <c r="C29" s="7" t="s">
        <v>175</v>
      </c>
      <c r="D29" s="7" t="s">
        <v>157</v>
      </c>
      <c r="E29" s="7" t="s">
        <v>176</v>
      </c>
      <c r="F29" s="7" t="s">
        <v>177</v>
      </c>
      <c r="G29" s="7" t="n">
        <v>2</v>
      </c>
      <c r="H29" s="7" t="s">
        <v>78</v>
      </c>
      <c r="I29" s="7" t="s">
        <v>178</v>
      </c>
    </row>
    <row r="30" customFormat="false" ht="30" hidden="false" customHeight="true" outlineLevel="0" collapsed="false">
      <c r="A30" s="7" t="s">
        <v>179</v>
      </c>
      <c r="B30" s="7" t="s">
        <v>180</v>
      </c>
      <c r="C30" s="7" t="s">
        <v>181</v>
      </c>
      <c r="D30" s="7" t="s">
        <v>125</v>
      </c>
      <c r="E30" s="7" t="s">
        <v>182</v>
      </c>
      <c r="F30" s="7" t="s">
        <v>183</v>
      </c>
      <c r="G30" s="7" t="n">
        <v>3</v>
      </c>
      <c r="H30" s="7" t="s">
        <v>78</v>
      </c>
      <c r="I30" s="7" t="s">
        <v>184</v>
      </c>
    </row>
    <row r="31" customFormat="false" ht="30" hidden="false" customHeight="true" outlineLevel="0" collapsed="false">
      <c r="A31" s="7" t="s">
        <v>185</v>
      </c>
      <c r="B31" s="7" t="s">
        <v>186</v>
      </c>
      <c r="C31" s="7" t="s">
        <v>187</v>
      </c>
      <c r="D31" s="7" t="s">
        <v>125</v>
      </c>
      <c r="E31" s="7" t="s">
        <v>188</v>
      </c>
      <c r="F31" s="7" t="s">
        <v>189</v>
      </c>
      <c r="G31" s="7" t="n">
        <v>3</v>
      </c>
      <c r="H31" s="7" t="s">
        <v>78</v>
      </c>
      <c r="I31" s="7" t="s">
        <v>190</v>
      </c>
    </row>
    <row r="32" customFormat="false" ht="30" hidden="false" customHeight="true" outlineLevel="0" collapsed="false">
      <c r="A32" s="7" t="s">
        <v>191</v>
      </c>
      <c r="B32" s="7" t="s">
        <v>192</v>
      </c>
      <c r="C32" s="7" t="s">
        <v>193</v>
      </c>
      <c r="D32" s="7" t="s">
        <v>125</v>
      </c>
      <c r="E32" s="7" t="s">
        <v>194</v>
      </c>
      <c r="F32" s="7" t="s">
        <v>195</v>
      </c>
      <c r="G32" s="7" t="n">
        <v>3</v>
      </c>
      <c r="H32" s="7" t="s">
        <v>78</v>
      </c>
      <c r="I32" s="7" t="s">
        <v>196</v>
      </c>
    </row>
  </sheetData>
  <mergeCells count="7">
    <mergeCell ref="A1:I1"/>
    <mergeCell ref="A2:I2"/>
    <mergeCell ref="A4:I4"/>
    <mergeCell ref="A5:I5"/>
    <mergeCell ref="A6:I6"/>
    <mergeCell ref="A7:I7"/>
    <mergeCell ref="A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56"/>
  </cols>
  <sheetData>
    <row r="1" customFormat="false" ht="30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198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3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3.5" hidden="false" customHeight="true" outlineLevel="0" collapsed="false">
      <c r="A5" s="4" t="s">
        <v>199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3.5" hidden="false" customHeight="true" outlineLevel="0" collapsed="false">
      <c r="A6" s="4" t="s">
        <v>200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3.5" hidden="false" customHeight="true" outlineLevel="0" collapsed="false">
      <c r="A7" s="4" t="s">
        <v>201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3.5" hidden="false" customHeight="true" outlineLevel="0" collapsed="false">
      <c r="A8" s="4" t="s">
        <v>202</v>
      </c>
      <c r="B8" s="4"/>
      <c r="C8" s="4"/>
      <c r="D8" s="4"/>
      <c r="E8" s="4"/>
      <c r="F8" s="4"/>
      <c r="G8" s="4"/>
      <c r="H8" s="4"/>
      <c r="I8" s="4"/>
      <c r="J8" s="4"/>
    </row>
    <row r="9" customFormat="false" ht="13.5" hidden="false" customHeight="true" outlineLevel="0" collapsed="false">
      <c r="A9" s="4" t="s">
        <v>203</v>
      </c>
      <c r="B9" s="4"/>
      <c r="C9" s="4"/>
      <c r="D9" s="4"/>
      <c r="E9" s="4"/>
      <c r="F9" s="4"/>
      <c r="G9" s="4"/>
      <c r="H9" s="4"/>
      <c r="I9" s="4"/>
      <c r="J9" s="4"/>
    </row>
    <row r="11" customFormat="false" ht="15" hidden="false" customHeight="false" outlineLevel="0" collapsed="false">
      <c r="A11" s="11" t="s">
        <v>53</v>
      </c>
    </row>
    <row r="12" customFormat="false" ht="51.75" hidden="false" customHeight="true" outlineLevel="0" collapsed="false">
      <c r="A12" s="12" t="s">
        <v>204</v>
      </c>
      <c r="B12" s="12" t="s">
        <v>205</v>
      </c>
      <c r="C12" s="12" t="s">
        <v>206</v>
      </c>
      <c r="D12" s="12" t="s">
        <v>207</v>
      </c>
      <c r="E12" s="12" t="s">
        <v>208</v>
      </c>
      <c r="F12" s="12" t="s">
        <v>209</v>
      </c>
      <c r="G12" s="12" t="s">
        <v>210</v>
      </c>
      <c r="H12" s="12" t="s">
        <v>211</v>
      </c>
      <c r="I12" s="12" t="s">
        <v>61</v>
      </c>
      <c r="J12" s="12" t="s">
        <v>212</v>
      </c>
    </row>
    <row r="13" customFormat="false" ht="25.5" hidden="false" customHeight="true" outlineLevel="0" collapsed="false">
      <c r="A13" s="13" t="s">
        <v>213</v>
      </c>
      <c r="B13" s="13" t="s">
        <v>63</v>
      </c>
      <c r="C13" s="13" t="s">
        <v>64</v>
      </c>
      <c r="D13" s="13" t="s">
        <v>214</v>
      </c>
      <c r="E13" s="13" t="s">
        <v>65</v>
      </c>
      <c r="F13" s="13" t="s">
        <v>215</v>
      </c>
      <c r="G13" s="13" t="s">
        <v>68</v>
      </c>
      <c r="H13" s="13" t="s">
        <v>69</v>
      </c>
      <c r="I13" s="13" t="s">
        <v>70</v>
      </c>
      <c r="J13" s="13" t="s">
        <v>71</v>
      </c>
    </row>
    <row r="14" customFormat="false" ht="27.75" hidden="false" customHeight="true" outlineLevel="0" collapsed="false">
      <c r="A14" s="7" t="s">
        <v>216</v>
      </c>
      <c r="B14" s="7" t="s">
        <v>72</v>
      </c>
      <c r="C14" s="7" t="s">
        <v>73</v>
      </c>
      <c r="D14" s="7" t="s">
        <v>217</v>
      </c>
      <c r="E14" s="7" t="s">
        <v>218</v>
      </c>
      <c r="F14" s="7" t="s">
        <v>219</v>
      </c>
      <c r="G14" s="7" t="s">
        <v>220</v>
      </c>
      <c r="H14" s="7" t="n">
        <v>1</v>
      </c>
      <c r="I14" s="7" t="s">
        <v>78</v>
      </c>
      <c r="J14" s="7" t="s">
        <v>221</v>
      </c>
    </row>
    <row r="15" customFormat="false" ht="27.75" hidden="false" customHeight="true" outlineLevel="0" collapsed="false">
      <c r="A15" s="7" t="s">
        <v>222</v>
      </c>
      <c r="B15" s="7" t="s">
        <v>72</v>
      </c>
      <c r="C15" s="7" t="s">
        <v>73</v>
      </c>
      <c r="D15" s="7" t="s">
        <v>223</v>
      </c>
      <c r="E15" s="7" t="s">
        <v>224</v>
      </c>
      <c r="F15" s="7" t="s">
        <v>219</v>
      </c>
      <c r="G15" s="7" t="s">
        <v>225</v>
      </c>
      <c r="H15" s="7" t="n">
        <v>3</v>
      </c>
      <c r="I15" s="7" t="s">
        <v>78</v>
      </c>
      <c r="J15" s="7" t="s">
        <v>226</v>
      </c>
    </row>
    <row r="16" customFormat="false" ht="27.75" hidden="false" customHeight="true" outlineLevel="0" collapsed="false">
      <c r="A16" s="7" t="s">
        <v>227</v>
      </c>
      <c r="B16" s="7" t="s">
        <v>80</v>
      </c>
      <c r="C16" s="7" t="s">
        <v>81</v>
      </c>
      <c r="D16" s="7" t="s">
        <v>228</v>
      </c>
      <c r="E16" s="7" t="s">
        <v>229</v>
      </c>
      <c r="F16" s="7" t="s">
        <v>219</v>
      </c>
      <c r="G16" s="7" t="s">
        <v>230</v>
      </c>
      <c r="H16" s="7" t="n">
        <v>1</v>
      </c>
      <c r="I16" s="7" t="s">
        <v>78</v>
      </c>
      <c r="J16" s="7" t="s">
        <v>231</v>
      </c>
    </row>
    <row r="17" customFormat="false" ht="27.75" hidden="false" customHeight="true" outlineLevel="0" collapsed="false">
      <c r="A17" s="7" t="s">
        <v>232</v>
      </c>
      <c r="B17" s="7" t="s">
        <v>80</v>
      </c>
      <c r="C17" s="7" t="s">
        <v>81</v>
      </c>
      <c r="D17" s="7" t="s">
        <v>233</v>
      </c>
      <c r="E17" s="7" t="s">
        <v>234</v>
      </c>
      <c r="F17" s="7" t="s">
        <v>219</v>
      </c>
      <c r="G17" s="7" t="s">
        <v>235</v>
      </c>
      <c r="H17" s="7" t="n">
        <v>1</v>
      </c>
      <c r="I17" s="7" t="s">
        <v>78</v>
      </c>
      <c r="J17" s="7" t="s">
        <v>236</v>
      </c>
    </row>
    <row r="18" customFormat="false" ht="27.75" hidden="false" customHeight="true" outlineLevel="0" collapsed="false">
      <c r="A18" s="7" t="s">
        <v>237</v>
      </c>
      <c r="B18" s="7" t="s">
        <v>80</v>
      </c>
      <c r="C18" s="7" t="s">
        <v>81</v>
      </c>
      <c r="D18" s="7" t="s">
        <v>238</v>
      </c>
      <c r="E18" s="7" t="s">
        <v>239</v>
      </c>
      <c r="F18" s="7" t="s">
        <v>219</v>
      </c>
      <c r="G18" s="7" t="s">
        <v>240</v>
      </c>
      <c r="H18" s="7" t="n">
        <v>2</v>
      </c>
      <c r="I18" s="7" t="s">
        <v>78</v>
      </c>
      <c r="J18" s="7" t="s">
        <v>241</v>
      </c>
    </row>
    <row r="19" customFormat="false" ht="27.75" hidden="false" customHeight="true" outlineLevel="0" collapsed="false">
      <c r="A19" s="7" t="s">
        <v>242</v>
      </c>
      <c r="B19" s="7" t="s">
        <v>80</v>
      </c>
      <c r="C19" s="7" t="s">
        <v>81</v>
      </c>
      <c r="D19" s="7" t="s">
        <v>243</v>
      </c>
      <c r="E19" s="7" t="s">
        <v>244</v>
      </c>
      <c r="F19" s="7" t="s">
        <v>219</v>
      </c>
      <c r="G19" s="7"/>
      <c r="H19" s="7" t="n">
        <v>3</v>
      </c>
      <c r="I19" s="7" t="s">
        <v>78</v>
      </c>
      <c r="J19" s="7" t="s">
        <v>245</v>
      </c>
    </row>
    <row r="20" customFormat="false" ht="27.75" hidden="false" customHeight="true" outlineLevel="0" collapsed="false">
      <c r="A20" s="7" t="s">
        <v>246</v>
      </c>
      <c r="B20" s="7" t="s">
        <v>87</v>
      </c>
      <c r="C20" s="7" t="s">
        <v>88</v>
      </c>
      <c r="D20" s="7" t="s">
        <v>247</v>
      </c>
      <c r="E20" s="7" t="s">
        <v>248</v>
      </c>
      <c r="F20" s="7" t="s">
        <v>219</v>
      </c>
      <c r="G20" s="7" t="s">
        <v>249</v>
      </c>
      <c r="H20" s="7" t="n">
        <v>1</v>
      </c>
      <c r="I20" s="7" t="s">
        <v>78</v>
      </c>
      <c r="J20" s="7" t="s">
        <v>250</v>
      </c>
    </row>
    <row r="21" customFormat="false" ht="27.75" hidden="false" customHeight="true" outlineLevel="0" collapsed="false">
      <c r="A21" s="7" t="s">
        <v>251</v>
      </c>
      <c r="B21" s="7" t="s">
        <v>87</v>
      </c>
      <c r="C21" s="7" t="s">
        <v>88</v>
      </c>
      <c r="D21" s="7" t="s">
        <v>252</v>
      </c>
      <c r="E21" s="7" t="s">
        <v>253</v>
      </c>
      <c r="F21" s="7" t="s">
        <v>219</v>
      </c>
      <c r="G21" s="7"/>
      <c r="H21" s="7" t="n">
        <v>1</v>
      </c>
      <c r="I21" s="7" t="s">
        <v>78</v>
      </c>
      <c r="J21" s="7" t="s">
        <v>254</v>
      </c>
    </row>
    <row r="22" customFormat="false" ht="27.75" hidden="false" customHeight="true" outlineLevel="0" collapsed="false">
      <c r="A22" s="7" t="s">
        <v>255</v>
      </c>
      <c r="B22" s="7" t="s">
        <v>87</v>
      </c>
      <c r="C22" s="7" t="s">
        <v>88</v>
      </c>
      <c r="D22" s="7" t="s">
        <v>256</v>
      </c>
      <c r="E22" s="7" t="s">
        <v>257</v>
      </c>
      <c r="F22" s="7" t="s">
        <v>219</v>
      </c>
      <c r="G22" s="7"/>
      <c r="H22" s="7" t="n">
        <v>2</v>
      </c>
      <c r="I22" s="7" t="s">
        <v>78</v>
      </c>
      <c r="J22" s="7" t="s">
        <v>258</v>
      </c>
    </row>
    <row r="23" customFormat="false" ht="27.75" hidden="false" customHeight="true" outlineLevel="0" collapsed="false">
      <c r="A23" s="7" t="s">
        <v>259</v>
      </c>
      <c r="B23" s="7" t="s">
        <v>87</v>
      </c>
      <c r="C23" s="7" t="s">
        <v>88</v>
      </c>
      <c r="D23" s="7" t="s">
        <v>260</v>
      </c>
      <c r="E23" s="7" t="s">
        <v>261</v>
      </c>
      <c r="F23" s="7" t="s">
        <v>219</v>
      </c>
      <c r="G23" s="7"/>
      <c r="H23" s="7" t="n">
        <v>2</v>
      </c>
      <c r="I23" s="7" t="s">
        <v>78</v>
      </c>
      <c r="J23" s="7" t="s">
        <v>262</v>
      </c>
    </row>
    <row r="24" customFormat="false" ht="27.75" hidden="false" customHeight="true" outlineLevel="0" collapsed="false">
      <c r="A24" s="7" t="s">
        <v>263</v>
      </c>
      <c r="B24" s="7" t="s">
        <v>87</v>
      </c>
      <c r="C24" s="7" t="s">
        <v>88</v>
      </c>
      <c r="D24" s="7" t="s">
        <v>264</v>
      </c>
      <c r="E24" s="7" t="s">
        <v>265</v>
      </c>
      <c r="F24" s="7" t="s">
        <v>219</v>
      </c>
      <c r="G24" s="7" t="s">
        <v>266</v>
      </c>
      <c r="H24" s="7" t="n">
        <v>3</v>
      </c>
      <c r="I24" s="7" t="s">
        <v>78</v>
      </c>
      <c r="J24" s="7" t="s">
        <v>267</v>
      </c>
    </row>
    <row r="25" customFormat="false" ht="27.75" hidden="false" customHeight="true" outlineLevel="0" collapsed="false">
      <c r="A25" s="7" t="s">
        <v>268</v>
      </c>
      <c r="B25" s="7" t="s">
        <v>94</v>
      </c>
      <c r="C25" s="7" t="s">
        <v>95</v>
      </c>
      <c r="D25" s="7" t="s">
        <v>269</v>
      </c>
      <c r="E25" s="7" t="s">
        <v>270</v>
      </c>
      <c r="F25" s="7" t="s">
        <v>219</v>
      </c>
      <c r="G25" s="7" t="s">
        <v>271</v>
      </c>
      <c r="H25" s="7" t="n">
        <v>1</v>
      </c>
      <c r="I25" s="7" t="s">
        <v>78</v>
      </c>
      <c r="J25" s="7" t="s">
        <v>272</v>
      </c>
    </row>
    <row r="26" customFormat="false" ht="27.75" hidden="false" customHeight="true" outlineLevel="0" collapsed="false">
      <c r="A26" s="7" t="s">
        <v>273</v>
      </c>
      <c r="B26" s="7" t="s">
        <v>94</v>
      </c>
      <c r="C26" s="7" t="s">
        <v>95</v>
      </c>
      <c r="D26" s="7" t="s">
        <v>274</v>
      </c>
      <c r="E26" s="7" t="s">
        <v>275</v>
      </c>
      <c r="F26" s="7" t="s">
        <v>219</v>
      </c>
      <c r="G26" s="7" t="s">
        <v>276</v>
      </c>
      <c r="H26" s="7" t="n">
        <v>2</v>
      </c>
      <c r="I26" s="7" t="s">
        <v>78</v>
      </c>
      <c r="J26" s="7" t="s">
        <v>277</v>
      </c>
    </row>
    <row r="27" customFormat="false" ht="27.75" hidden="false" customHeight="true" outlineLevel="0" collapsed="false">
      <c r="A27" s="7" t="s">
        <v>278</v>
      </c>
      <c r="B27" s="7" t="s">
        <v>99</v>
      </c>
      <c r="C27" s="7" t="s">
        <v>100</v>
      </c>
      <c r="D27" s="7" t="s">
        <v>279</v>
      </c>
      <c r="E27" s="7" t="s">
        <v>280</v>
      </c>
      <c r="F27" s="7" t="s">
        <v>219</v>
      </c>
      <c r="G27" s="7" t="s">
        <v>281</v>
      </c>
      <c r="H27" s="7" t="n">
        <v>1</v>
      </c>
      <c r="I27" s="7" t="s">
        <v>78</v>
      </c>
      <c r="J27" s="7" t="s">
        <v>282</v>
      </c>
    </row>
    <row r="28" customFormat="false" ht="27.75" hidden="false" customHeight="true" outlineLevel="0" collapsed="false">
      <c r="A28" s="7" t="s">
        <v>283</v>
      </c>
      <c r="B28" s="7" t="s">
        <v>99</v>
      </c>
      <c r="C28" s="7" t="s">
        <v>100</v>
      </c>
      <c r="D28" s="7" t="s">
        <v>284</v>
      </c>
      <c r="E28" s="7" t="s">
        <v>285</v>
      </c>
      <c r="F28" s="7" t="s">
        <v>219</v>
      </c>
      <c r="G28" s="7" t="s">
        <v>286</v>
      </c>
      <c r="H28" s="7" t="n">
        <v>1</v>
      </c>
      <c r="I28" s="7" t="s">
        <v>78</v>
      </c>
      <c r="J28" s="7" t="s">
        <v>287</v>
      </c>
    </row>
    <row r="29" customFormat="false" ht="27.75" hidden="false" customHeight="true" outlineLevel="0" collapsed="false">
      <c r="A29" s="7" t="s">
        <v>288</v>
      </c>
      <c r="B29" s="7" t="s">
        <v>99</v>
      </c>
      <c r="C29" s="7" t="s">
        <v>100</v>
      </c>
      <c r="D29" s="7" t="s">
        <v>289</v>
      </c>
      <c r="E29" s="7" t="s">
        <v>290</v>
      </c>
      <c r="F29" s="7" t="s">
        <v>219</v>
      </c>
      <c r="G29" s="7"/>
      <c r="H29" s="7" t="n">
        <v>2</v>
      </c>
      <c r="I29" s="7" t="s">
        <v>78</v>
      </c>
      <c r="J29" s="7" t="s">
        <v>291</v>
      </c>
    </row>
    <row r="30" customFormat="false" ht="27.75" hidden="false" customHeight="true" outlineLevel="0" collapsed="false">
      <c r="A30" s="7" t="s">
        <v>292</v>
      </c>
      <c r="B30" s="7" t="s">
        <v>99</v>
      </c>
      <c r="C30" s="7" t="s">
        <v>100</v>
      </c>
      <c r="D30" s="7" t="s">
        <v>293</v>
      </c>
      <c r="E30" s="7" t="s">
        <v>294</v>
      </c>
      <c r="F30" s="7" t="s">
        <v>219</v>
      </c>
      <c r="G30" s="7" t="s">
        <v>295</v>
      </c>
      <c r="H30" s="7" t="n">
        <v>2</v>
      </c>
      <c r="I30" s="7" t="s">
        <v>78</v>
      </c>
      <c r="J30" s="7" t="s">
        <v>296</v>
      </c>
    </row>
    <row r="31" customFormat="false" ht="27.75" hidden="false" customHeight="true" outlineLevel="0" collapsed="false">
      <c r="A31" s="7" t="s">
        <v>297</v>
      </c>
      <c r="B31" s="7" t="s">
        <v>99</v>
      </c>
      <c r="C31" s="7" t="s">
        <v>100</v>
      </c>
      <c r="D31" s="7" t="s">
        <v>298</v>
      </c>
      <c r="E31" s="7" t="s">
        <v>299</v>
      </c>
      <c r="F31" s="7" t="s">
        <v>219</v>
      </c>
      <c r="G31" s="7" t="s">
        <v>300</v>
      </c>
      <c r="H31" s="7" t="n">
        <v>3</v>
      </c>
      <c r="I31" s="7" t="s">
        <v>78</v>
      </c>
      <c r="J31" s="7" t="s">
        <v>301</v>
      </c>
    </row>
    <row r="32" customFormat="false" ht="27.75" hidden="false" customHeight="true" outlineLevel="0" collapsed="false">
      <c r="A32" s="7" t="s">
        <v>302</v>
      </c>
      <c r="B32" s="7" t="s">
        <v>99</v>
      </c>
      <c r="C32" s="7" t="s">
        <v>100</v>
      </c>
      <c r="D32" s="7" t="s">
        <v>303</v>
      </c>
      <c r="E32" s="7" t="s">
        <v>304</v>
      </c>
      <c r="F32" s="7" t="s">
        <v>219</v>
      </c>
      <c r="G32" s="7"/>
      <c r="H32" s="7" t="n">
        <v>3</v>
      </c>
      <c r="I32" s="7" t="s">
        <v>78</v>
      </c>
      <c r="J32" s="7" t="s">
        <v>305</v>
      </c>
    </row>
    <row r="33" customFormat="false" ht="27.75" hidden="false" customHeight="true" outlineLevel="0" collapsed="false">
      <c r="A33" s="7" t="s">
        <v>306</v>
      </c>
      <c r="B33" s="7" t="s">
        <v>99</v>
      </c>
      <c r="C33" s="7" t="s">
        <v>100</v>
      </c>
      <c r="D33" s="7" t="s">
        <v>307</v>
      </c>
      <c r="E33" s="7" t="s">
        <v>308</v>
      </c>
      <c r="F33" s="7" t="s">
        <v>219</v>
      </c>
      <c r="G33" s="7"/>
      <c r="H33" s="7" t="n">
        <v>3</v>
      </c>
      <c r="I33" s="7" t="s">
        <v>78</v>
      </c>
      <c r="J33" s="7" t="s">
        <v>309</v>
      </c>
    </row>
    <row r="34" customFormat="false" ht="27.75" hidden="false" customHeight="true" outlineLevel="0" collapsed="false">
      <c r="A34" s="7" t="s">
        <v>310</v>
      </c>
      <c r="B34" s="7" t="s">
        <v>99</v>
      </c>
      <c r="C34" s="7" t="s">
        <v>100</v>
      </c>
      <c r="D34" s="7" t="s">
        <v>311</v>
      </c>
      <c r="E34" s="7" t="s">
        <v>312</v>
      </c>
      <c r="F34" s="7" t="s">
        <v>219</v>
      </c>
      <c r="G34" s="7"/>
      <c r="H34" s="7" t="n">
        <v>3</v>
      </c>
      <c r="I34" s="7" t="s">
        <v>78</v>
      </c>
      <c r="J34" s="7" t="s">
        <v>313</v>
      </c>
    </row>
    <row r="35" customFormat="false" ht="27.75" hidden="false" customHeight="true" outlineLevel="0" collapsed="false">
      <c r="A35" s="7" t="s">
        <v>314</v>
      </c>
      <c r="B35" s="7" t="s">
        <v>105</v>
      </c>
      <c r="C35" s="7" t="s">
        <v>106</v>
      </c>
      <c r="D35" s="7" t="s">
        <v>315</v>
      </c>
      <c r="E35" s="7" t="s">
        <v>316</v>
      </c>
      <c r="F35" s="7" t="s">
        <v>219</v>
      </c>
      <c r="G35" s="7" t="s">
        <v>317</v>
      </c>
      <c r="H35" s="7" t="n">
        <v>1</v>
      </c>
      <c r="I35" s="7" t="s">
        <v>78</v>
      </c>
      <c r="J35" s="7" t="s">
        <v>318</v>
      </c>
    </row>
    <row r="36" customFormat="false" ht="27.75" hidden="false" customHeight="true" outlineLevel="0" collapsed="false">
      <c r="A36" s="7" t="s">
        <v>319</v>
      </c>
      <c r="B36" s="7" t="s">
        <v>105</v>
      </c>
      <c r="C36" s="7" t="s">
        <v>106</v>
      </c>
      <c r="D36" s="7" t="s">
        <v>320</v>
      </c>
      <c r="E36" s="7" t="s">
        <v>321</v>
      </c>
      <c r="F36" s="7" t="s">
        <v>219</v>
      </c>
      <c r="G36" s="7" t="s">
        <v>322</v>
      </c>
      <c r="H36" s="7" t="n">
        <v>1</v>
      </c>
      <c r="I36" s="7" t="s">
        <v>78</v>
      </c>
      <c r="J36" s="7" t="s">
        <v>323</v>
      </c>
    </row>
    <row r="37" customFormat="false" ht="27.75" hidden="false" customHeight="true" outlineLevel="0" collapsed="false">
      <c r="A37" s="7" t="s">
        <v>324</v>
      </c>
      <c r="B37" s="7" t="s">
        <v>105</v>
      </c>
      <c r="C37" s="7" t="s">
        <v>106</v>
      </c>
      <c r="D37" s="7" t="s">
        <v>325</v>
      </c>
      <c r="E37" s="7" t="s">
        <v>326</v>
      </c>
      <c r="F37" s="7" t="s">
        <v>219</v>
      </c>
      <c r="G37" s="7" t="s">
        <v>327</v>
      </c>
      <c r="H37" s="7" t="n">
        <v>2</v>
      </c>
      <c r="I37" s="7" t="s">
        <v>78</v>
      </c>
      <c r="J37" s="7" t="s">
        <v>328</v>
      </c>
    </row>
    <row r="38" customFormat="false" ht="27.75" hidden="false" customHeight="true" outlineLevel="0" collapsed="false">
      <c r="A38" s="7" t="s">
        <v>329</v>
      </c>
      <c r="B38" s="7" t="s">
        <v>105</v>
      </c>
      <c r="C38" s="7" t="s">
        <v>106</v>
      </c>
      <c r="D38" s="7" t="s">
        <v>330</v>
      </c>
      <c r="E38" s="7" t="s">
        <v>331</v>
      </c>
      <c r="F38" s="7" t="s">
        <v>219</v>
      </c>
      <c r="G38" s="7" t="s">
        <v>332</v>
      </c>
      <c r="H38" s="7" t="n">
        <v>2</v>
      </c>
      <c r="I38" s="7" t="s">
        <v>78</v>
      </c>
      <c r="J38" s="7" t="s">
        <v>333</v>
      </c>
    </row>
    <row r="39" customFormat="false" ht="27.75" hidden="false" customHeight="true" outlineLevel="0" collapsed="false">
      <c r="A39" s="7" t="s">
        <v>334</v>
      </c>
      <c r="B39" s="7" t="s">
        <v>110</v>
      </c>
      <c r="C39" s="7" t="s">
        <v>111</v>
      </c>
      <c r="D39" s="7" t="s">
        <v>335</v>
      </c>
      <c r="E39" s="7" t="s">
        <v>336</v>
      </c>
      <c r="F39" s="7" t="s">
        <v>219</v>
      </c>
      <c r="G39" s="7" t="s">
        <v>337</v>
      </c>
      <c r="H39" s="7" t="n">
        <v>1</v>
      </c>
      <c r="I39" s="7" t="s">
        <v>78</v>
      </c>
      <c r="J39" s="7" t="s">
        <v>338</v>
      </c>
    </row>
    <row r="40" customFormat="false" ht="27.75" hidden="false" customHeight="true" outlineLevel="0" collapsed="false">
      <c r="A40" s="7" t="s">
        <v>339</v>
      </c>
      <c r="B40" s="7" t="s">
        <v>110</v>
      </c>
      <c r="C40" s="7" t="s">
        <v>111</v>
      </c>
      <c r="D40" s="7" t="s">
        <v>340</v>
      </c>
      <c r="E40" s="7" t="s">
        <v>341</v>
      </c>
      <c r="F40" s="7" t="s">
        <v>219</v>
      </c>
      <c r="G40" s="7" t="s">
        <v>342</v>
      </c>
      <c r="H40" s="7" t="n">
        <v>1</v>
      </c>
      <c r="I40" s="7" t="s">
        <v>78</v>
      </c>
      <c r="J40" s="7" t="s">
        <v>343</v>
      </c>
    </row>
    <row r="41" customFormat="false" ht="27.75" hidden="false" customHeight="true" outlineLevel="0" collapsed="false">
      <c r="A41" s="7" t="s">
        <v>344</v>
      </c>
      <c r="B41" s="7" t="s">
        <v>110</v>
      </c>
      <c r="C41" s="7" t="s">
        <v>111</v>
      </c>
      <c r="D41" s="7" t="s">
        <v>345</v>
      </c>
      <c r="E41" s="7" t="s">
        <v>346</v>
      </c>
      <c r="F41" s="7" t="s">
        <v>219</v>
      </c>
      <c r="G41" s="7" t="s">
        <v>347</v>
      </c>
      <c r="H41" s="7" t="n">
        <v>2</v>
      </c>
      <c r="I41" s="7" t="s">
        <v>78</v>
      </c>
      <c r="J41" s="7" t="s">
        <v>348</v>
      </c>
    </row>
    <row r="42" customFormat="false" ht="27.75" hidden="false" customHeight="true" outlineLevel="0" collapsed="false">
      <c r="A42" s="7" t="s">
        <v>349</v>
      </c>
      <c r="B42" s="7" t="s">
        <v>110</v>
      </c>
      <c r="C42" s="7" t="s">
        <v>111</v>
      </c>
      <c r="D42" s="7" t="s">
        <v>350</v>
      </c>
      <c r="E42" s="7" t="s">
        <v>351</v>
      </c>
      <c r="F42" s="7" t="s">
        <v>219</v>
      </c>
      <c r="G42" s="7"/>
      <c r="H42" s="7" t="n">
        <v>3</v>
      </c>
      <c r="I42" s="7" t="s">
        <v>78</v>
      </c>
      <c r="J42" s="7" t="s">
        <v>352</v>
      </c>
    </row>
    <row r="43" customFormat="false" ht="27.75" hidden="false" customHeight="true" outlineLevel="0" collapsed="false">
      <c r="A43" s="7" t="s">
        <v>353</v>
      </c>
      <c r="B43" s="7" t="s">
        <v>117</v>
      </c>
      <c r="C43" s="7" t="s">
        <v>118</v>
      </c>
      <c r="D43" s="7" t="s">
        <v>354</v>
      </c>
      <c r="E43" s="7" t="s">
        <v>355</v>
      </c>
      <c r="F43" s="7" t="s">
        <v>219</v>
      </c>
      <c r="G43" s="7" t="s">
        <v>356</v>
      </c>
      <c r="H43" s="7" t="n">
        <v>1</v>
      </c>
      <c r="I43" s="7" t="s">
        <v>78</v>
      </c>
      <c r="J43" s="7" t="s">
        <v>357</v>
      </c>
    </row>
    <row r="44" customFormat="false" ht="27.75" hidden="false" customHeight="true" outlineLevel="0" collapsed="false">
      <c r="A44" s="7" t="s">
        <v>358</v>
      </c>
      <c r="B44" s="7" t="s">
        <v>117</v>
      </c>
      <c r="C44" s="7" t="s">
        <v>118</v>
      </c>
      <c r="D44" s="7" t="s">
        <v>359</v>
      </c>
      <c r="E44" s="7" t="s">
        <v>360</v>
      </c>
      <c r="F44" s="7" t="s">
        <v>219</v>
      </c>
      <c r="G44" s="7"/>
      <c r="H44" s="7" t="n">
        <v>2</v>
      </c>
      <c r="I44" s="7" t="s">
        <v>78</v>
      </c>
      <c r="J44" s="7" t="s">
        <v>361</v>
      </c>
    </row>
    <row r="45" customFormat="false" ht="27.75" hidden="false" customHeight="true" outlineLevel="0" collapsed="false">
      <c r="A45" s="7" t="s">
        <v>362</v>
      </c>
      <c r="B45" s="7" t="s">
        <v>117</v>
      </c>
      <c r="C45" s="7" t="s">
        <v>118</v>
      </c>
      <c r="D45" s="7" t="s">
        <v>363</v>
      </c>
      <c r="E45" s="7" t="s">
        <v>364</v>
      </c>
      <c r="F45" s="7" t="s">
        <v>219</v>
      </c>
      <c r="G45" s="7"/>
      <c r="H45" s="7" t="n">
        <v>2</v>
      </c>
      <c r="I45" s="7" t="s">
        <v>78</v>
      </c>
      <c r="J45" s="7" t="s">
        <v>365</v>
      </c>
    </row>
    <row r="46" customFormat="false" ht="27.75" hidden="false" customHeight="true" outlineLevel="0" collapsed="false">
      <c r="A46" s="7" t="s">
        <v>366</v>
      </c>
      <c r="B46" s="7" t="s">
        <v>117</v>
      </c>
      <c r="C46" s="7" t="s">
        <v>118</v>
      </c>
      <c r="D46" s="7" t="s">
        <v>367</v>
      </c>
      <c r="E46" s="7" t="s">
        <v>368</v>
      </c>
      <c r="F46" s="7" t="s">
        <v>219</v>
      </c>
      <c r="G46" s="7"/>
      <c r="H46" s="7" t="n">
        <v>3</v>
      </c>
      <c r="I46" s="7" t="s">
        <v>78</v>
      </c>
      <c r="J46" s="7" t="s">
        <v>369</v>
      </c>
    </row>
    <row r="47" customFormat="false" ht="27.75" hidden="false" customHeight="true" outlineLevel="0" collapsed="false">
      <c r="A47" s="7" t="s">
        <v>370</v>
      </c>
      <c r="B47" s="7" t="s">
        <v>122</v>
      </c>
      <c r="C47" s="7" t="s">
        <v>123</v>
      </c>
      <c r="D47" s="7" t="s">
        <v>371</v>
      </c>
      <c r="E47" s="7" t="s">
        <v>372</v>
      </c>
      <c r="F47" s="7" t="s">
        <v>219</v>
      </c>
      <c r="G47" s="7"/>
      <c r="H47" s="7" t="n">
        <v>2</v>
      </c>
      <c r="I47" s="7" t="s">
        <v>78</v>
      </c>
      <c r="J47" s="7" t="s">
        <v>373</v>
      </c>
    </row>
    <row r="48" customFormat="false" ht="27.75" hidden="false" customHeight="true" outlineLevel="0" collapsed="false">
      <c r="A48" s="7" t="s">
        <v>374</v>
      </c>
      <c r="B48" s="7" t="s">
        <v>122</v>
      </c>
      <c r="C48" s="7" t="s">
        <v>123</v>
      </c>
      <c r="D48" s="7" t="s">
        <v>375</v>
      </c>
      <c r="E48" s="7" t="s">
        <v>376</v>
      </c>
      <c r="F48" s="7" t="s">
        <v>219</v>
      </c>
      <c r="G48" s="7"/>
      <c r="H48" s="7" t="n">
        <v>2</v>
      </c>
      <c r="I48" s="7" t="s">
        <v>78</v>
      </c>
      <c r="J48" s="7" t="s">
        <v>377</v>
      </c>
    </row>
    <row r="49" customFormat="false" ht="27.75" hidden="false" customHeight="true" outlineLevel="0" collapsed="false">
      <c r="A49" s="7" t="s">
        <v>378</v>
      </c>
      <c r="B49" s="7" t="s">
        <v>122</v>
      </c>
      <c r="C49" s="7" t="s">
        <v>123</v>
      </c>
      <c r="D49" s="7" t="s">
        <v>379</v>
      </c>
      <c r="E49" s="7" t="s">
        <v>380</v>
      </c>
      <c r="F49" s="7" t="s">
        <v>219</v>
      </c>
      <c r="G49" s="7"/>
      <c r="H49" s="7" t="n">
        <v>3</v>
      </c>
      <c r="I49" s="7" t="s">
        <v>78</v>
      </c>
      <c r="J49" s="7" t="s">
        <v>381</v>
      </c>
    </row>
    <row r="50" customFormat="false" ht="27.75" hidden="false" customHeight="true" outlineLevel="0" collapsed="false">
      <c r="A50" s="7" t="s">
        <v>382</v>
      </c>
      <c r="B50" s="7" t="s">
        <v>129</v>
      </c>
      <c r="C50" s="7" t="s">
        <v>130</v>
      </c>
      <c r="D50" s="7" t="s">
        <v>383</v>
      </c>
      <c r="E50" s="7" t="s">
        <v>384</v>
      </c>
      <c r="F50" s="7" t="s">
        <v>219</v>
      </c>
      <c r="G50" s="7" t="s">
        <v>385</v>
      </c>
      <c r="H50" s="7" t="n">
        <v>2</v>
      </c>
      <c r="I50" s="7" t="s">
        <v>78</v>
      </c>
      <c r="J50" s="7" t="s">
        <v>386</v>
      </c>
    </row>
    <row r="51" customFormat="false" ht="27.75" hidden="false" customHeight="true" outlineLevel="0" collapsed="false">
      <c r="A51" s="7" t="s">
        <v>387</v>
      </c>
      <c r="B51" s="7" t="s">
        <v>129</v>
      </c>
      <c r="C51" s="7" t="s">
        <v>130</v>
      </c>
      <c r="D51" s="7" t="s">
        <v>388</v>
      </c>
      <c r="E51" s="7" t="s">
        <v>389</v>
      </c>
      <c r="F51" s="7" t="s">
        <v>219</v>
      </c>
      <c r="G51" s="7" t="s">
        <v>390</v>
      </c>
      <c r="H51" s="7" t="n">
        <v>2</v>
      </c>
      <c r="I51" s="7" t="s">
        <v>78</v>
      </c>
      <c r="J51" s="7" t="s">
        <v>391</v>
      </c>
    </row>
    <row r="52" customFormat="false" ht="27.75" hidden="false" customHeight="true" outlineLevel="0" collapsed="false">
      <c r="A52" s="7" t="s">
        <v>392</v>
      </c>
      <c r="B52" s="7" t="s">
        <v>136</v>
      </c>
      <c r="C52" s="7" t="s">
        <v>137</v>
      </c>
      <c r="D52" s="7" t="s">
        <v>393</v>
      </c>
      <c r="E52" s="7" t="s">
        <v>394</v>
      </c>
      <c r="F52" s="7" t="s">
        <v>219</v>
      </c>
      <c r="G52" s="7" t="s">
        <v>395</v>
      </c>
      <c r="H52" s="7" t="n">
        <v>2</v>
      </c>
      <c r="I52" s="7" t="s">
        <v>78</v>
      </c>
      <c r="J52" s="7" t="s">
        <v>396</v>
      </c>
    </row>
    <row r="53" customFormat="false" ht="27.75" hidden="false" customHeight="true" outlineLevel="0" collapsed="false">
      <c r="A53" s="7" t="s">
        <v>397</v>
      </c>
      <c r="B53" s="7" t="s">
        <v>136</v>
      </c>
      <c r="C53" s="7" t="s">
        <v>137</v>
      </c>
      <c r="D53" s="7" t="s">
        <v>398</v>
      </c>
      <c r="E53" s="7" t="s">
        <v>399</v>
      </c>
      <c r="F53" s="7" t="s">
        <v>219</v>
      </c>
      <c r="G53" s="7"/>
      <c r="H53" s="7" t="n">
        <v>2</v>
      </c>
      <c r="I53" s="7" t="s">
        <v>78</v>
      </c>
      <c r="J53" s="7" t="s">
        <v>400</v>
      </c>
    </row>
    <row r="54" customFormat="false" ht="27.75" hidden="false" customHeight="true" outlineLevel="0" collapsed="false">
      <c r="A54" s="7" t="s">
        <v>401</v>
      </c>
      <c r="B54" s="7" t="s">
        <v>136</v>
      </c>
      <c r="C54" s="7" t="s">
        <v>137</v>
      </c>
      <c r="D54" s="7" t="s">
        <v>402</v>
      </c>
      <c r="E54" s="7" t="s">
        <v>403</v>
      </c>
      <c r="F54" s="7" t="s">
        <v>219</v>
      </c>
      <c r="G54" s="7"/>
      <c r="H54" s="7" t="n">
        <v>2</v>
      </c>
      <c r="I54" s="7" t="s">
        <v>78</v>
      </c>
      <c r="J54" s="7" t="s">
        <v>404</v>
      </c>
    </row>
    <row r="55" customFormat="false" ht="27.75" hidden="false" customHeight="true" outlineLevel="0" collapsed="false">
      <c r="A55" s="7" t="s">
        <v>405</v>
      </c>
      <c r="B55" s="7" t="s">
        <v>142</v>
      </c>
      <c r="C55" s="7" t="s">
        <v>143</v>
      </c>
      <c r="D55" s="7" t="s">
        <v>406</v>
      </c>
      <c r="E55" s="7" t="s">
        <v>407</v>
      </c>
      <c r="F55" s="7" t="s">
        <v>219</v>
      </c>
      <c r="G55" s="7" t="s">
        <v>408</v>
      </c>
      <c r="H55" s="7" t="n">
        <v>2</v>
      </c>
      <c r="I55" s="7" t="s">
        <v>78</v>
      </c>
      <c r="J55" s="7" t="s">
        <v>409</v>
      </c>
    </row>
    <row r="56" customFormat="false" ht="27.75" hidden="false" customHeight="true" outlineLevel="0" collapsed="false">
      <c r="A56" s="7" t="s">
        <v>410</v>
      </c>
      <c r="B56" s="7" t="s">
        <v>148</v>
      </c>
      <c r="C56" s="7" t="s">
        <v>149</v>
      </c>
      <c r="D56" s="7" t="s">
        <v>411</v>
      </c>
      <c r="E56" s="7" t="s">
        <v>412</v>
      </c>
      <c r="F56" s="7" t="s">
        <v>219</v>
      </c>
      <c r="G56" s="7" t="s">
        <v>413</v>
      </c>
      <c r="H56" s="7" t="n">
        <v>2</v>
      </c>
      <c r="I56" s="7" t="s">
        <v>78</v>
      </c>
      <c r="J56" s="7" t="s">
        <v>414</v>
      </c>
    </row>
    <row r="57" customFormat="false" ht="27.75" hidden="false" customHeight="true" outlineLevel="0" collapsed="false">
      <c r="A57" s="7" t="s">
        <v>415</v>
      </c>
      <c r="B57" s="7" t="s">
        <v>148</v>
      </c>
      <c r="C57" s="7" t="s">
        <v>149</v>
      </c>
      <c r="D57" s="7" t="s">
        <v>416</v>
      </c>
      <c r="E57" s="7" t="s">
        <v>417</v>
      </c>
      <c r="F57" s="7" t="s">
        <v>219</v>
      </c>
      <c r="G57" s="7"/>
      <c r="H57" s="7" t="n">
        <v>2</v>
      </c>
      <c r="I57" s="7" t="s">
        <v>78</v>
      </c>
      <c r="J57" s="7" t="s">
        <v>418</v>
      </c>
    </row>
    <row r="58" customFormat="false" ht="27.75" hidden="false" customHeight="true" outlineLevel="0" collapsed="false">
      <c r="A58" s="7" t="s">
        <v>419</v>
      </c>
      <c r="B58" s="7" t="s">
        <v>148</v>
      </c>
      <c r="C58" s="7" t="s">
        <v>149</v>
      </c>
      <c r="D58" s="7" t="s">
        <v>420</v>
      </c>
      <c r="E58" s="7" t="s">
        <v>421</v>
      </c>
      <c r="F58" s="7" t="s">
        <v>219</v>
      </c>
      <c r="G58" s="7"/>
      <c r="H58" s="7" t="n">
        <v>3</v>
      </c>
      <c r="I58" s="7" t="s">
        <v>78</v>
      </c>
      <c r="J58" s="7" t="s">
        <v>422</v>
      </c>
    </row>
    <row r="59" customFormat="false" ht="27.75" hidden="false" customHeight="true" outlineLevel="0" collapsed="false">
      <c r="A59" s="7" t="s">
        <v>423</v>
      </c>
      <c r="B59" s="7" t="s">
        <v>154</v>
      </c>
      <c r="C59" s="7" t="s">
        <v>155</v>
      </c>
      <c r="D59" s="7" t="s">
        <v>424</v>
      </c>
      <c r="E59" s="7" t="s">
        <v>425</v>
      </c>
      <c r="F59" s="7" t="s">
        <v>219</v>
      </c>
      <c r="G59" s="7" t="s">
        <v>426</v>
      </c>
      <c r="H59" s="7" t="n">
        <v>1</v>
      </c>
      <c r="I59" s="7" t="s">
        <v>78</v>
      </c>
      <c r="J59" s="7" t="s">
        <v>427</v>
      </c>
    </row>
    <row r="60" customFormat="false" ht="27.75" hidden="false" customHeight="true" outlineLevel="0" collapsed="false">
      <c r="A60" s="7" t="s">
        <v>428</v>
      </c>
      <c r="B60" s="7" t="s">
        <v>154</v>
      </c>
      <c r="C60" s="7" t="s">
        <v>155</v>
      </c>
      <c r="D60" s="7" t="s">
        <v>429</v>
      </c>
      <c r="E60" s="7" t="s">
        <v>430</v>
      </c>
      <c r="F60" s="7" t="s">
        <v>219</v>
      </c>
      <c r="G60" s="7" t="s">
        <v>431</v>
      </c>
      <c r="H60" s="7" t="n">
        <v>2</v>
      </c>
      <c r="I60" s="7" t="s">
        <v>78</v>
      </c>
      <c r="J60" s="7" t="s">
        <v>432</v>
      </c>
    </row>
    <row r="61" customFormat="false" ht="27.75" hidden="false" customHeight="true" outlineLevel="0" collapsed="false">
      <c r="A61" s="7" t="s">
        <v>433</v>
      </c>
      <c r="B61" s="7" t="s">
        <v>154</v>
      </c>
      <c r="C61" s="7" t="s">
        <v>155</v>
      </c>
      <c r="D61" s="7" t="s">
        <v>434</v>
      </c>
      <c r="E61" s="7" t="s">
        <v>435</v>
      </c>
      <c r="F61" s="7" t="s">
        <v>219</v>
      </c>
      <c r="G61" s="7" t="s">
        <v>436</v>
      </c>
      <c r="H61" s="7" t="n">
        <v>2</v>
      </c>
      <c r="I61" s="7" t="s">
        <v>78</v>
      </c>
      <c r="J61" s="7" t="s">
        <v>437</v>
      </c>
    </row>
    <row r="62" customFormat="false" ht="27.75" hidden="false" customHeight="true" outlineLevel="0" collapsed="false">
      <c r="A62" s="7" t="s">
        <v>438</v>
      </c>
      <c r="B62" s="7" t="s">
        <v>161</v>
      </c>
      <c r="C62" s="7" t="s">
        <v>162</v>
      </c>
      <c r="D62" s="7" t="s">
        <v>439</v>
      </c>
      <c r="E62" s="7" t="s">
        <v>440</v>
      </c>
      <c r="F62" s="7" t="s">
        <v>219</v>
      </c>
      <c r="G62" s="7"/>
      <c r="H62" s="7" t="n">
        <v>2</v>
      </c>
      <c r="I62" s="7" t="s">
        <v>78</v>
      </c>
      <c r="J62" s="7" t="s">
        <v>441</v>
      </c>
    </row>
    <row r="63" customFormat="false" ht="27.75" hidden="false" customHeight="true" outlineLevel="0" collapsed="false">
      <c r="A63" s="7" t="s">
        <v>442</v>
      </c>
      <c r="B63" s="7" t="s">
        <v>161</v>
      </c>
      <c r="C63" s="7" t="s">
        <v>162</v>
      </c>
      <c r="D63" s="7" t="s">
        <v>443</v>
      </c>
      <c r="E63" s="7" t="s">
        <v>444</v>
      </c>
      <c r="F63" s="7" t="s">
        <v>219</v>
      </c>
      <c r="G63" s="7"/>
      <c r="H63" s="7" t="n">
        <v>2</v>
      </c>
      <c r="I63" s="7" t="s">
        <v>78</v>
      </c>
      <c r="J63" s="7" t="s">
        <v>445</v>
      </c>
    </row>
    <row r="64" customFormat="false" ht="27.75" hidden="false" customHeight="true" outlineLevel="0" collapsed="false">
      <c r="A64" s="7" t="s">
        <v>446</v>
      </c>
      <c r="B64" s="7" t="s">
        <v>161</v>
      </c>
      <c r="C64" s="7" t="s">
        <v>162</v>
      </c>
      <c r="D64" s="7" t="s">
        <v>447</v>
      </c>
      <c r="E64" s="7" t="s">
        <v>448</v>
      </c>
      <c r="F64" s="7" t="s">
        <v>219</v>
      </c>
      <c r="G64" s="7" t="s">
        <v>449</v>
      </c>
      <c r="H64" s="7" t="n">
        <v>2</v>
      </c>
      <c r="I64" s="7" t="s">
        <v>78</v>
      </c>
      <c r="J64" s="7" t="s">
        <v>450</v>
      </c>
    </row>
    <row r="65" customFormat="false" ht="27.75" hidden="false" customHeight="true" outlineLevel="0" collapsed="false">
      <c r="A65" s="7" t="s">
        <v>451</v>
      </c>
      <c r="B65" s="7" t="s">
        <v>167</v>
      </c>
      <c r="C65" s="7" t="s">
        <v>168</v>
      </c>
      <c r="D65" s="7" t="s">
        <v>452</v>
      </c>
      <c r="E65" s="7" t="s">
        <v>453</v>
      </c>
      <c r="F65" s="7" t="s">
        <v>219</v>
      </c>
      <c r="G65" s="7" t="s">
        <v>454</v>
      </c>
      <c r="H65" s="7" t="n">
        <v>2</v>
      </c>
      <c r="I65" s="7" t="s">
        <v>78</v>
      </c>
      <c r="J65" s="7" t="s">
        <v>455</v>
      </c>
    </row>
    <row r="66" customFormat="false" ht="27.75" hidden="false" customHeight="true" outlineLevel="0" collapsed="false">
      <c r="A66" s="7" t="s">
        <v>456</v>
      </c>
      <c r="B66" s="7" t="s">
        <v>167</v>
      </c>
      <c r="C66" s="7" t="s">
        <v>168</v>
      </c>
      <c r="D66" s="7" t="s">
        <v>457</v>
      </c>
      <c r="E66" s="7" t="s">
        <v>458</v>
      </c>
      <c r="F66" s="7" t="s">
        <v>219</v>
      </c>
      <c r="G66" s="7" t="s">
        <v>459</v>
      </c>
      <c r="H66" s="7" t="n">
        <v>2</v>
      </c>
      <c r="I66" s="7" t="s">
        <v>78</v>
      </c>
      <c r="J66" s="7" t="s">
        <v>460</v>
      </c>
    </row>
    <row r="67" customFormat="false" ht="27.75" hidden="false" customHeight="true" outlineLevel="0" collapsed="false">
      <c r="A67" s="7" t="s">
        <v>461</v>
      </c>
      <c r="B67" s="7" t="s">
        <v>167</v>
      </c>
      <c r="C67" s="7" t="s">
        <v>168</v>
      </c>
      <c r="D67" s="7" t="s">
        <v>462</v>
      </c>
      <c r="E67" s="7" t="s">
        <v>463</v>
      </c>
      <c r="F67" s="7" t="s">
        <v>219</v>
      </c>
      <c r="G67" s="7" t="s">
        <v>464</v>
      </c>
      <c r="H67" s="7" t="n">
        <v>3</v>
      </c>
      <c r="I67" s="7" t="s">
        <v>78</v>
      </c>
      <c r="J67" s="7" t="s">
        <v>465</v>
      </c>
    </row>
    <row r="68" customFormat="false" ht="27.75" hidden="false" customHeight="true" outlineLevel="0" collapsed="false">
      <c r="A68" s="7" t="s">
        <v>466</v>
      </c>
      <c r="B68" s="7" t="s">
        <v>167</v>
      </c>
      <c r="C68" s="7" t="s">
        <v>168</v>
      </c>
      <c r="D68" s="7" t="s">
        <v>467</v>
      </c>
      <c r="E68" s="7" t="s">
        <v>468</v>
      </c>
      <c r="F68" s="7" t="s">
        <v>219</v>
      </c>
      <c r="G68" s="7"/>
      <c r="H68" s="7" t="n">
        <v>3</v>
      </c>
      <c r="I68" s="7" t="s">
        <v>78</v>
      </c>
      <c r="J68" s="7" t="s">
        <v>469</v>
      </c>
    </row>
    <row r="69" customFormat="false" ht="27.75" hidden="false" customHeight="true" outlineLevel="0" collapsed="false">
      <c r="A69" s="7" t="s">
        <v>470</v>
      </c>
      <c r="B69" s="7" t="s">
        <v>173</v>
      </c>
      <c r="C69" s="7" t="s">
        <v>174</v>
      </c>
      <c r="D69" s="7" t="s">
        <v>471</v>
      </c>
      <c r="E69" s="7" t="s">
        <v>472</v>
      </c>
      <c r="F69" s="7" t="s">
        <v>219</v>
      </c>
      <c r="G69" s="7" t="s">
        <v>473</v>
      </c>
      <c r="H69" s="7" t="n">
        <v>1</v>
      </c>
      <c r="I69" s="7" t="s">
        <v>78</v>
      </c>
      <c r="J69" s="7" t="s">
        <v>474</v>
      </c>
    </row>
    <row r="70" customFormat="false" ht="27.75" hidden="false" customHeight="true" outlineLevel="0" collapsed="false">
      <c r="A70" s="7" t="s">
        <v>475</v>
      </c>
      <c r="B70" s="7" t="s">
        <v>173</v>
      </c>
      <c r="C70" s="7" t="s">
        <v>174</v>
      </c>
      <c r="D70" s="7" t="s">
        <v>476</v>
      </c>
      <c r="E70" s="7" t="s">
        <v>477</v>
      </c>
      <c r="F70" s="7" t="s">
        <v>219</v>
      </c>
      <c r="G70" s="7" t="s">
        <v>478</v>
      </c>
      <c r="H70" s="7" t="n">
        <v>2</v>
      </c>
      <c r="I70" s="7" t="s">
        <v>78</v>
      </c>
      <c r="J70" s="7" t="s">
        <v>479</v>
      </c>
    </row>
    <row r="71" customFormat="false" ht="27.75" hidden="false" customHeight="true" outlineLevel="0" collapsed="false">
      <c r="A71" s="7" t="s">
        <v>480</v>
      </c>
      <c r="B71" s="7" t="s">
        <v>173</v>
      </c>
      <c r="C71" s="7" t="s">
        <v>174</v>
      </c>
      <c r="D71" s="7" t="s">
        <v>481</v>
      </c>
      <c r="E71" s="7" t="s">
        <v>482</v>
      </c>
      <c r="F71" s="7" t="s">
        <v>219</v>
      </c>
      <c r="G71" s="7" t="s">
        <v>483</v>
      </c>
      <c r="H71" s="7" t="n">
        <v>3</v>
      </c>
      <c r="I71" s="7" t="s">
        <v>78</v>
      </c>
      <c r="J71" s="7" t="s">
        <v>484</v>
      </c>
    </row>
    <row r="72" customFormat="false" ht="27.75" hidden="false" customHeight="true" outlineLevel="0" collapsed="false">
      <c r="A72" s="7" t="s">
        <v>485</v>
      </c>
      <c r="B72" s="7" t="s">
        <v>173</v>
      </c>
      <c r="C72" s="7" t="s">
        <v>174</v>
      </c>
      <c r="D72" s="7" t="s">
        <v>486</v>
      </c>
      <c r="E72" s="7" t="s">
        <v>487</v>
      </c>
      <c r="F72" s="7" t="s">
        <v>219</v>
      </c>
      <c r="G72" s="7"/>
      <c r="H72" s="7" t="n">
        <v>3</v>
      </c>
      <c r="I72" s="7" t="s">
        <v>78</v>
      </c>
      <c r="J72" s="7" t="s">
        <v>488</v>
      </c>
    </row>
    <row r="73" customFormat="false" ht="27.75" hidden="false" customHeight="true" outlineLevel="0" collapsed="false">
      <c r="A73" s="7" t="s">
        <v>489</v>
      </c>
      <c r="B73" s="7" t="s">
        <v>173</v>
      </c>
      <c r="C73" s="7" t="s">
        <v>174</v>
      </c>
      <c r="D73" s="7" t="s">
        <v>490</v>
      </c>
      <c r="E73" s="7" t="s">
        <v>491</v>
      </c>
      <c r="F73" s="7" t="s">
        <v>219</v>
      </c>
      <c r="G73" s="7"/>
      <c r="H73" s="7" t="n">
        <v>3</v>
      </c>
      <c r="I73" s="7" t="s">
        <v>78</v>
      </c>
      <c r="J73" s="7" t="s">
        <v>492</v>
      </c>
    </row>
    <row r="74" customFormat="false" ht="27.75" hidden="false" customHeight="true" outlineLevel="0" collapsed="false">
      <c r="A74" s="7" t="s">
        <v>493</v>
      </c>
      <c r="B74" s="7" t="s">
        <v>179</v>
      </c>
      <c r="C74" s="7" t="s">
        <v>180</v>
      </c>
      <c r="D74" s="7" t="s">
        <v>494</v>
      </c>
      <c r="E74" s="7" t="s">
        <v>495</v>
      </c>
      <c r="F74" s="7" t="s">
        <v>219</v>
      </c>
      <c r="G74" s="7"/>
      <c r="H74" s="7" t="n">
        <v>3</v>
      </c>
      <c r="I74" s="7" t="s">
        <v>78</v>
      </c>
      <c r="J74" s="7" t="s">
        <v>496</v>
      </c>
    </row>
    <row r="75" customFormat="false" ht="27.75" hidden="false" customHeight="true" outlineLevel="0" collapsed="false">
      <c r="A75" s="7" t="s">
        <v>497</v>
      </c>
      <c r="B75" s="7" t="s">
        <v>179</v>
      </c>
      <c r="C75" s="7" t="s">
        <v>180</v>
      </c>
      <c r="D75" s="7" t="s">
        <v>498</v>
      </c>
      <c r="E75" s="7" t="s">
        <v>499</v>
      </c>
      <c r="F75" s="7" t="s">
        <v>219</v>
      </c>
      <c r="G75" s="7"/>
      <c r="H75" s="7" t="n">
        <v>3</v>
      </c>
      <c r="I75" s="7" t="s">
        <v>78</v>
      </c>
      <c r="J75" s="7" t="s">
        <v>500</v>
      </c>
    </row>
    <row r="76" customFormat="false" ht="27.75" hidden="false" customHeight="true" outlineLevel="0" collapsed="false">
      <c r="A76" s="7" t="s">
        <v>501</v>
      </c>
      <c r="B76" s="7" t="s">
        <v>179</v>
      </c>
      <c r="C76" s="7" t="s">
        <v>180</v>
      </c>
      <c r="D76" s="7" t="s">
        <v>502</v>
      </c>
      <c r="E76" s="7" t="s">
        <v>503</v>
      </c>
      <c r="F76" s="7" t="s">
        <v>219</v>
      </c>
      <c r="G76" s="7"/>
      <c r="H76" s="7" t="n">
        <v>3</v>
      </c>
      <c r="I76" s="7" t="s">
        <v>78</v>
      </c>
      <c r="J76" s="7" t="s">
        <v>504</v>
      </c>
    </row>
    <row r="77" customFormat="false" ht="27.75" hidden="false" customHeight="true" outlineLevel="0" collapsed="false">
      <c r="A77" s="7" t="s">
        <v>505</v>
      </c>
      <c r="B77" s="7" t="s">
        <v>185</v>
      </c>
      <c r="C77" s="7" t="s">
        <v>186</v>
      </c>
      <c r="D77" s="7" t="s">
        <v>506</v>
      </c>
      <c r="E77" s="7" t="s">
        <v>507</v>
      </c>
      <c r="F77" s="7" t="s">
        <v>219</v>
      </c>
      <c r="G77" s="7" t="s">
        <v>508</v>
      </c>
      <c r="H77" s="7" t="n">
        <v>3</v>
      </c>
      <c r="I77" s="7" t="s">
        <v>78</v>
      </c>
      <c r="J77" s="7" t="s">
        <v>509</v>
      </c>
    </row>
    <row r="78" customFormat="false" ht="27.75" hidden="false" customHeight="true" outlineLevel="0" collapsed="false">
      <c r="A78" s="7" t="s">
        <v>510</v>
      </c>
      <c r="B78" s="7" t="s">
        <v>191</v>
      </c>
      <c r="C78" s="7" t="s">
        <v>192</v>
      </c>
      <c r="D78" s="7" t="s">
        <v>511</v>
      </c>
      <c r="E78" s="7" t="s">
        <v>512</v>
      </c>
      <c r="F78" s="7" t="s">
        <v>219</v>
      </c>
      <c r="G78" s="7"/>
      <c r="H78" s="7" t="n">
        <v>3</v>
      </c>
      <c r="I78" s="7" t="s">
        <v>78</v>
      </c>
      <c r="J78" s="7" t="s">
        <v>513</v>
      </c>
    </row>
    <row r="79" customFormat="false" ht="27.75" hidden="false" customHeight="true" outlineLevel="0" collapsed="false">
      <c r="A79" s="7" t="s">
        <v>514</v>
      </c>
      <c r="B79" s="7" t="s">
        <v>191</v>
      </c>
      <c r="C79" s="7" t="s">
        <v>192</v>
      </c>
      <c r="D79" s="7" t="s">
        <v>515</v>
      </c>
      <c r="E79" s="7" t="s">
        <v>516</v>
      </c>
      <c r="F79" s="7" t="s">
        <v>219</v>
      </c>
      <c r="G79" s="7"/>
      <c r="H79" s="7" t="n">
        <v>3</v>
      </c>
      <c r="I79" s="7" t="s">
        <v>78</v>
      </c>
      <c r="J79" s="7" t="s">
        <v>517</v>
      </c>
    </row>
  </sheetData>
  <mergeCells count="8">
    <mergeCell ref="A1:J1"/>
    <mergeCell ref="A2:J2"/>
    <mergeCell ref="A4:J4"/>
    <mergeCell ref="A5:J5"/>
    <mergeCell ref="A6:J6"/>
    <mergeCell ref="A7:J7"/>
    <mergeCell ref="A8:J8"/>
    <mergeCell ref="A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6B"/>
    <pageSetUpPr fitToPage="false"/>
  </sheetPr>
  <dimension ref="A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52"/>
  </cols>
  <sheetData>
    <row r="1" customFormat="false" ht="30" hidden="false" customHeight="true" outlineLevel="0" collapsed="false">
      <c r="A1" s="1" t="s">
        <v>518</v>
      </c>
      <c r="B1" s="1"/>
      <c r="C1" s="1"/>
      <c r="D1" s="1"/>
    </row>
    <row r="2" customFormat="false" ht="18" hidden="false" customHeight="true" outlineLevel="0" collapsed="false">
      <c r="A2" s="2" t="s">
        <v>519</v>
      </c>
      <c r="B2" s="2"/>
      <c r="C2" s="2"/>
      <c r="D2" s="2"/>
    </row>
    <row r="4" customFormat="false" ht="13.5" hidden="false" customHeight="true" outlineLevel="0" collapsed="false">
      <c r="A4" s="3" t="s">
        <v>2</v>
      </c>
      <c r="B4" s="3"/>
      <c r="C4" s="3"/>
      <c r="D4" s="3"/>
    </row>
    <row r="5" customFormat="false" ht="13.5" hidden="false" customHeight="true" outlineLevel="0" collapsed="false">
      <c r="A5" s="4" t="s">
        <v>520</v>
      </c>
      <c r="B5" s="4"/>
      <c r="C5" s="4"/>
      <c r="D5" s="4"/>
    </row>
    <row r="6" customFormat="false" ht="13.5" hidden="false" customHeight="true" outlineLevel="0" collapsed="false">
      <c r="A6" s="4" t="s">
        <v>521</v>
      </c>
      <c r="B6" s="4"/>
      <c r="C6" s="4"/>
      <c r="D6" s="4"/>
    </row>
    <row r="7" customFormat="false" ht="13.5" hidden="false" customHeight="true" outlineLevel="0" collapsed="false">
      <c r="A7" s="4" t="s">
        <v>522</v>
      </c>
      <c r="B7" s="4"/>
      <c r="C7" s="4"/>
      <c r="D7" s="4"/>
    </row>
    <row r="9" customFormat="false" ht="19.5" hidden="false" customHeight="true" outlineLevel="0" collapsed="false">
      <c r="A9" s="5" t="s">
        <v>523</v>
      </c>
      <c r="B9" s="5"/>
      <c r="C9" s="5"/>
      <c r="D9" s="5"/>
    </row>
    <row r="10" customFormat="false" ht="19.5" hidden="false" customHeight="true" outlineLevel="0" collapsed="false">
      <c r="A10" s="6" t="s">
        <v>36</v>
      </c>
      <c r="B10" s="14" t="n">
        <f aca="false">COUNTA(tblBrands[Brand ID])</f>
        <v>20</v>
      </c>
      <c r="C10" s="8" t="s">
        <v>524</v>
      </c>
      <c r="D10" s="8"/>
    </row>
    <row r="11" customFormat="false" ht="19.5" hidden="false" customHeight="true" outlineLevel="0" collapsed="false">
      <c r="A11" s="6" t="s">
        <v>38</v>
      </c>
      <c r="B11" s="14" t="n">
        <f aca="false">COUNTA(tblModels[Model ID])</f>
        <v>66</v>
      </c>
      <c r="C11" s="8" t="s">
        <v>525</v>
      </c>
      <c r="D11" s="8"/>
    </row>
    <row r="12" customFormat="false" ht="19.5" hidden="false" customHeight="true" outlineLevel="0" collapsed="false">
      <c r="A12" s="6" t="s">
        <v>39</v>
      </c>
      <c r="B12" s="14" t="n">
        <f aca="false">COUNTIF(tblBrands[Status],"active")</f>
        <v>20</v>
      </c>
      <c r="C12" s="8" t="s">
        <v>526</v>
      </c>
      <c r="D12" s="8"/>
    </row>
    <row r="13" customFormat="false" ht="19.5" hidden="false" customHeight="true" outlineLevel="0" collapsed="false">
      <c r="A13" s="6" t="s">
        <v>40</v>
      </c>
      <c r="B13" s="14" t="n">
        <f aca="false">COUNTIF(tblModels[Status],"active")</f>
        <v>66</v>
      </c>
      <c r="C13" s="8" t="s">
        <v>527</v>
      </c>
      <c r="D13" s="8"/>
    </row>
    <row r="14" customFormat="false" ht="19.5" hidden="false" customHeight="true" outlineLevel="0" collapsed="false">
      <c r="A14" s="6" t="s">
        <v>528</v>
      </c>
      <c r="B14" s="14" t="n">
        <f aca="false">COUNTIF(tblBrands[Status],"draft")</f>
        <v>0</v>
      </c>
      <c r="C14" s="8" t="s">
        <v>529</v>
      </c>
      <c r="D14" s="8"/>
    </row>
    <row r="15" customFormat="false" ht="19.5" hidden="false" customHeight="true" outlineLevel="0" collapsed="false">
      <c r="A15" s="6" t="s">
        <v>530</v>
      </c>
      <c r="B15" s="14" t="n">
        <f aca="false">COUNTIF(tblModels[Status],"draft")</f>
        <v>0</v>
      </c>
      <c r="C15" s="8" t="s">
        <v>529</v>
      </c>
      <c r="D15" s="8"/>
    </row>
    <row r="16" customFormat="false" ht="19.5" hidden="false" customHeight="true" outlineLevel="0" collapsed="false">
      <c r="A16" s="6" t="s">
        <v>531</v>
      </c>
      <c r="B16" s="14" t="n">
        <f aca="false">COUNTIF(tblBrands[Popularity Algeria],1)</f>
        <v>7</v>
      </c>
      <c r="C16" s="8" t="s">
        <v>532</v>
      </c>
      <c r="D16" s="8"/>
    </row>
    <row r="17" customFormat="false" ht="19.5" hidden="false" customHeight="true" outlineLevel="0" collapsed="false">
      <c r="A17" s="6" t="s">
        <v>533</v>
      </c>
      <c r="B17" s="14" t="n">
        <f aca="false">COUNTIF(tblModels[Popularity Algeria],1)</f>
        <v>15</v>
      </c>
      <c r="C17" s="8" t="s">
        <v>534</v>
      </c>
      <c r="D17" s="8"/>
    </row>
    <row r="19" customFormat="false" ht="19.5" hidden="false" customHeight="true" outlineLevel="0" collapsed="false">
      <c r="A19" s="5" t="s">
        <v>535</v>
      </c>
      <c r="B19" s="5"/>
      <c r="C19" s="5"/>
      <c r="D19" s="5"/>
    </row>
    <row r="20" customFormat="false" ht="21.75" hidden="false" customHeight="true" outlineLevel="0" collapsed="false">
      <c r="A20" s="13" t="s">
        <v>64</v>
      </c>
      <c r="B20" s="13" t="s">
        <v>536</v>
      </c>
      <c r="C20" s="13" t="s">
        <v>40</v>
      </c>
      <c r="D20" s="13" t="s">
        <v>537</v>
      </c>
    </row>
    <row r="21" customFormat="false" ht="19.5" hidden="false" customHeight="true" outlineLevel="0" collapsed="false">
      <c r="A21" s="15" t="str">
        <f aca="false">IFERROR(INDEX(tblBrands[Brand Name],1),"")</f>
        <v>Dacia</v>
      </c>
      <c r="B21" s="16" t="n">
        <f aca="false">IF(A21="","",COUNTIF(tblModels[Brand Name],A21))</f>
        <v>2</v>
      </c>
      <c r="C21" s="16" t="n">
        <f aca="false">IF(A21="","",COUNTIFS(tblModels[Brand Name],A21,tblModels[Status],"active"))</f>
        <v>2</v>
      </c>
      <c r="D21" s="8" t="s">
        <v>538</v>
      </c>
    </row>
    <row r="22" customFormat="false" ht="19.5" hidden="false" customHeight="true" outlineLevel="0" collapsed="false">
      <c r="A22" s="15" t="str">
        <f aca="false">IFERROR(INDEX(tblBrands[Brand Name],2),"")</f>
        <v>Fiat</v>
      </c>
      <c r="B22" s="16" t="n">
        <f aca="false">IF(A22="","",COUNTIF(tblModels[Brand Name],A22))</f>
        <v>4</v>
      </c>
      <c r="C22" s="16" t="n">
        <f aca="false">IF(A22="","",COUNTIFS(tblModels[Brand Name],A22,tblModels[Status],"active"))</f>
        <v>4</v>
      </c>
      <c r="D22" s="8"/>
    </row>
    <row r="23" customFormat="false" ht="19.5" hidden="false" customHeight="true" outlineLevel="0" collapsed="false">
      <c r="A23" s="15" t="str">
        <f aca="false">IFERROR(INDEX(tblBrands[Brand Name],3),"")</f>
        <v>Hyundai</v>
      </c>
      <c r="B23" s="16" t="n">
        <f aca="false">IF(A23="","",COUNTIF(tblModels[Brand Name],A23))</f>
        <v>5</v>
      </c>
      <c r="C23" s="16" t="n">
        <f aca="false">IF(A23="","",COUNTIFS(tblModels[Brand Name],A23,tblModels[Status],"active"))</f>
        <v>5</v>
      </c>
      <c r="D23" s="8"/>
    </row>
    <row r="24" customFormat="false" ht="19.5" hidden="false" customHeight="true" outlineLevel="0" collapsed="false">
      <c r="A24" s="15" t="str">
        <f aca="false">IFERROR(INDEX(tblBrands[Brand Name],4),"")</f>
        <v>Kia</v>
      </c>
      <c r="B24" s="16" t="n">
        <f aca="false">IF(A24="","",COUNTIF(tblModels[Brand Name],A24))</f>
        <v>2</v>
      </c>
      <c r="C24" s="16" t="n">
        <f aca="false">IF(A24="","",COUNTIFS(tblModels[Brand Name],A24,tblModels[Status],"active"))</f>
        <v>2</v>
      </c>
      <c r="D24" s="8"/>
    </row>
    <row r="25" customFormat="false" ht="19.5" hidden="false" customHeight="true" outlineLevel="0" collapsed="false">
      <c r="A25" s="15" t="str">
        <f aca="false">IFERROR(INDEX(tblBrands[Brand Name],5),"")</f>
        <v>Peugeot</v>
      </c>
      <c r="B25" s="16" t="n">
        <f aca="false">IF(A25="","",COUNTIF(tblModels[Brand Name],A25))</f>
        <v>8</v>
      </c>
      <c r="C25" s="16" t="n">
        <f aca="false">IF(A25="","",COUNTIFS(tblModels[Brand Name],A25,tblModels[Status],"active"))</f>
        <v>8</v>
      </c>
      <c r="D25" s="8"/>
    </row>
    <row r="26" customFormat="false" ht="19.5" hidden="false" customHeight="true" outlineLevel="0" collapsed="false">
      <c r="A26" s="15" t="str">
        <f aca="false">IFERROR(INDEX(tblBrands[Brand Name],6),"")</f>
        <v>Renault</v>
      </c>
      <c r="B26" s="16" t="n">
        <f aca="false">IF(A26="","",COUNTIF(tblModels[Brand Name],A26))</f>
        <v>4</v>
      </c>
      <c r="C26" s="16" t="n">
        <f aca="false">IF(A26="","",COUNTIFS(tblModels[Brand Name],A26,tblModels[Status],"active"))</f>
        <v>4</v>
      </c>
      <c r="D26" s="8"/>
    </row>
    <row r="27" customFormat="false" ht="19.5" hidden="false" customHeight="true" outlineLevel="0" collapsed="false">
      <c r="A27" s="15" t="str">
        <f aca="false">IFERROR(INDEX(tblBrands[Brand Name],7),"")</f>
        <v>Toyota</v>
      </c>
      <c r="B27" s="16" t="n">
        <f aca="false">IF(A27="","",COUNTIF(tblModels[Brand Name],A27))</f>
        <v>4</v>
      </c>
      <c r="C27" s="16" t="n">
        <f aca="false">IF(A27="","",COUNTIFS(tblModels[Brand Name],A27,tblModels[Status],"active"))</f>
        <v>4</v>
      </c>
      <c r="D27" s="8"/>
    </row>
    <row r="28" customFormat="false" ht="19.5" hidden="false" customHeight="true" outlineLevel="0" collapsed="false">
      <c r="A28" s="15" t="str">
        <f aca="false">IFERROR(INDEX(tblBrands[Brand Name],8),"")</f>
        <v>Citroën</v>
      </c>
      <c r="B28" s="16" t="n">
        <f aca="false">IF(A28="","",COUNTIF(tblModels[Brand Name],A28))</f>
        <v>4</v>
      </c>
      <c r="C28" s="16" t="n">
        <f aca="false">IF(A28="","",COUNTIFS(tblModels[Brand Name],A28,tblModels[Status],"active"))</f>
        <v>4</v>
      </c>
      <c r="D28" s="8"/>
    </row>
    <row r="29" customFormat="false" ht="19.5" hidden="false" customHeight="true" outlineLevel="0" collapsed="false">
      <c r="A29" s="15" t="str">
        <f aca="false">IFERROR(INDEX(tblBrands[Brand Name],9),"")</f>
        <v>DFSK</v>
      </c>
      <c r="B29" s="16" t="n">
        <f aca="false">IF(A29="","",COUNTIF(tblModels[Brand Name],A29))</f>
        <v>3</v>
      </c>
      <c r="C29" s="16" t="n">
        <f aca="false">IF(A29="","",COUNTIFS(tblModels[Brand Name],A29,tblModels[Status],"active"))</f>
        <v>3</v>
      </c>
      <c r="D29" s="8"/>
    </row>
    <row r="30" customFormat="false" ht="19.5" hidden="false" customHeight="true" outlineLevel="0" collapsed="false">
      <c r="A30" s="15" t="str">
        <f aca="false">IFERROR(INDEX(tblBrands[Brand Name],10),"")</f>
        <v>Ford</v>
      </c>
      <c r="B30" s="16" t="n">
        <f aca="false">IF(A30="","",COUNTIF(tblModels[Brand Name],A30))</f>
        <v>2</v>
      </c>
      <c r="C30" s="16" t="n">
        <f aca="false">IF(A30="","",COUNTIFS(tblModels[Brand Name],A30,tblModels[Status],"active"))</f>
        <v>2</v>
      </c>
      <c r="D30" s="8"/>
    </row>
    <row r="31" customFormat="false" ht="19.5" hidden="false" customHeight="true" outlineLevel="0" collapsed="false">
      <c r="A31" s="15" t="str">
        <f aca="false">IFERROR(INDEX(tblBrands[Brand Name],11),"")</f>
        <v>Isuzu</v>
      </c>
      <c r="B31" s="16" t="n">
        <f aca="false">IF(A31="","",COUNTIF(tblModels[Brand Name],A31))</f>
        <v>3</v>
      </c>
      <c r="C31" s="16" t="n">
        <f aca="false">IF(A31="","",COUNTIFS(tblModels[Brand Name],A31,tblModels[Status],"active"))</f>
        <v>3</v>
      </c>
      <c r="D31" s="8"/>
    </row>
    <row r="32" customFormat="false" ht="19.5" hidden="false" customHeight="true" outlineLevel="0" collapsed="false">
      <c r="A32" s="15" t="str">
        <f aca="false">IFERROR(INDEX(tblBrands[Brand Name],12),"")</f>
        <v>Iveco</v>
      </c>
      <c r="B32" s="16" t="n">
        <f aca="false">IF(A32="","",COUNTIF(tblModels[Brand Name],A32))</f>
        <v>1</v>
      </c>
      <c r="C32" s="16" t="n">
        <f aca="false">IF(A32="","",COUNTIFS(tblModels[Brand Name],A32,tblModels[Status],"active"))</f>
        <v>1</v>
      </c>
      <c r="D32" s="8"/>
    </row>
    <row r="34" customFormat="false" ht="19.5" hidden="false" customHeight="true" outlineLevel="0" collapsed="false">
      <c r="A34" s="5" t="s">
        <v>539</v>
      </c>
      <c r="B34" s="5"/>
      <c r="C34" s="5"/>
      <c r="D34" s="5"/>
    </row>
    <row r="35" customFormat="false" ht="15" hidden="false" customHeight="true" outlineLevel="0" collapsed="false">
      <c r="A35" s="17" t="s">
        <v>540</v>
      </c>
      <c r="B35" s="17"/>
      <c r="C35" s="17"/>
      <c r="D35" s="17"/>
    </row>
    <row r="36" customFormat="false" ht="15" hidden="false" customHeight="true" outlineLevel="0" collapsed="false">
      <c r="A36" s="6" t="s">
        <v>541</v>
      </c>
      <c r="B36" s="14" t="n">
        <f aca="false">COUNTIF(tblModels[Popularity Algeria],1)</f>
        <v>15</v>
      </c>
      <c r="C36" s="8" t="s">
        <v>542</v>
      </c>
      <c r="D36" s="8"/>
    </row>
    <row r="37" customFormat="false" ht="15" hidden="false" customHeight="true" outlineLevel="0" collapsed="false">
      <c r="A37" s="6" t="s">
        <v>543</v>
      </c>
      <c r="B37" s="14" t="str">
        <f aca="false">IFERROR(INDEX(tblModels[Model Name],MATCH(1,tblModels[Popularity Algeria],0)),"—")</f>
        <v>Dokker</v>
      </c>
      <c r="C37" s="8" t="s">
        <v>544</v>
      </c>
      <c r="D37" s="8"/>
    </row>
    <row r="39" customFormat="false" ht="19.5" hidden="false" customHeight="true" outlineLevel="0" collapsed="false">
      <c r="A39" s="5" t="s">
        <v>545</v>
      </c>
      <c r="B39" s="5"/>
      <c r="C39" s="5"/>
      <c r="D39" s="5"/>
    </row>
    <row r="40" customFormat="false" ht="19.5" hidden="false" customHeight="true" outlineLevel="0" collapsed="false">
      <c r="A40" s="6" t="s">
        <v>546</v>
      </c>
      <c r="B40" s="14" t="n">
        <f aca="false">COUNTIF(tblBrands[Popularity Algeria],1)</f>
        <v>7</v>
      </c>
      <c r="C40" s="8" t="s">
        <v>547</v>
      </c>
      <c r="D40" s="8"/>
    </row>
    <row r="41" customFormat="false" ht="19.5" hidden="false" customHeight="true" outlineLevel="0" collapsed="false">
      <c r="A41" s="6" t="s">
        <v>548</v>
      </c>
      <c r="B41" s="14" t="n">
        <f aca="false">COUNTIF(tblBrands[Popularity Algeria],2)</f>
        <v>10</v>
      </c>
      <c r="C41" s="8" t="s">
        <v>549</v>
      </c>
      <c r="D41" s="8"/>
    </row>
    <row r="42" customFormat="false" ht="19.5" hidden="false" customHeight="true" outlineLevel="0" collapsed="false">
      <c r="A42" s="6" t="s">
        <v>550</v>
      </c>
      <c r="B42" s="14" t="n">
        <f aca="false">COUNTIF(tblBrands[Popularity Algeria],3)</f>
        <v>3</v>
      </c>
      <c r="C42" s="8" t="s">
        <v>551</v>
      </c>
      <c r="D42" s="8"/>
    </row>
    <row r="43" customFormat="false" ht="19.5" hidden="false" customHeight="true" outlineLevel="0" collapsed="false">
      <c r="A43" s="6" t="s">
        <v>552</v>
      </c>
      <c r="B43" s="14" t="n">
        <f aca="false">COUNTIF(tblBrands[Popularity Algeria],4)</f>
        <v>0</v>
      </c>
      <c r="C43" s="8" t="s">
        <v>553</v>
      </c>
      <c r="D43" s="8"/>
    </row>
    <row r="44" customFormat="false" ht="19.5" hidden="false" customHeight="true" outlineLevel="0" collapsed="false">
      <c r="A44" s="6" t="s">
        <v>554</v>
      </c>
      <c r="B44" s="14" t="n">
        <f aca="false">COUNTIF(tblModels[Popularity Algeria],1)</f>
        <v>15</v>
      </c>
      <c r="C44" s="8" t="s">
        <v>547</v>
      </c>
      <c r="D44" s="8"/>
    </row>
    <row r="45" customFormat="false" ht="19.5" hidden="false" customHeight="true" outlineLevel="0" collapsed="false">
      <c r="A45" s="6" t="s">
        <v>555</v>
      </c>
      <c r="B45" s="14" t="n">
        <f aca="false">COUNTIF(tblModels[Popularity Algeria],2)</f>
        <v>29</v>
      </c>
      <c r="C45" s="8" t="s">
        <v>549</v>
      </c>
      <c r="D45" s="8"/>
    </row>
    <row r="46" customFormat="false" ht="19.5" hidden="false" customHeight="true" outlineLevel="0" collapsed="false">
      <c r="A46" s="6" t="s">
        <v>556</v>
      </c>
      <c r="B46" s="14" t="n">
        <f aca="false">COUNTIF(tblModels[Popularity Algeria],3)</f>
        <v>22</v>
      </c>
      <c r="C46" s="8" t="s">
        <v>551</v>
      </c>
      <c r="D46" s="8"/>
    </row>
    <row r="47" customFormat="false" ht="19.5" hidden="false" customHeight="true" outlineLevel="0" collapsed="false">
      <c r="A47" s="6" t="s">
        <v>557</v>
      </c>
      <c r="B47" s="14" t="n">
        <f aca="false">COUNTIF(tblModels[Popularity Algeria],4)</f>
        <v>0</v>
      </c>
      <c r="C47" s="8" t="s">
        <v>553</v>
      </c>
      <c r="D47" s="8"/>
    </row>
    <row r="48" customFormat="false" ht="19.5" hidden="false" customHeight="true" outlineLevel="0" collapsed="false">
      <c r="A48" s="6" t="s">
        <v>558</v>
      </c>
      <c r="B48" s="14" t="n">
        <f aca="false">SUMPRODUCT(--(COUNTIF(tblModels[Brand ID],tblBrands[Brand ID])&gt;0))</f>
        <v>20</v>
      </c>
      <c r="C48" s="8" t="s">
        <v>559</v>
      </c>
      <c r="D48" s="8"/>
    </row>
    <row r="49" customFormat="false" ht="19.5" hidden="false" customHeight="true" outlineLevel="0" collapsed="false">
      <c r="A49" s="6" t="s">
        <v>560</v>
      </c>
      <c r="B49" s="14" t="n">
        <f aca="false">ROUND(COUNTA(tblModels[Model ID])/COUNTA(tblBrands[Brand ID]),1)</f>
        <v>3.3</v>
      </c>
      <c r="C49" s="8" t="s">
        <v>561</v>
      </c>
      <c r="D49" s="8"/>
    </row>
  </sheetData>
  <mergeCells count="31">
    <mergeCell ref="A1:D1"/>
    <mergeCell ref="A2:D2"/>
    <mergeCell ref="A4:D4"/>
    <mergeCell ref="A5:D5"/>
    <mergeCell ref="A6:D6"/>
    <mergeCell ref="A7:D7"/>
    <mergeCell ref="A9:D9"/>
    <mergeCell ref="C10:D10"/>
    <mergeCell ref="C11:D11"/>
    <mergeCell ref="C12:D12"/>
    <mergeCell ref="C13:D13"/>
    <mergeCell ref="C14:D14"/>
    <mergeCell ref="C15:D15"/>
    <mergeCell ref="C16:D16"/>
    <mergeCell ref="C17:D17"/>
    <mergeCell ref="A19:D19"/>
    <mergeCell ref="A34:D34"/>
    <mergeCell ref="A35:D35"/>
    <mergeCell ref="C36:D36"/>
    <mergeCell ref="C37:D37"/>
    <mergeCell ref="A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6B"/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44"/>
  </cols>
  <sheetData>
    <row r="1" customFormat="false" ht="30" hidden="false" customHeight="true" outlineLevel="0" collapsed="false">
      <c r="A1" s="1" t="s">
        <v>562</v>
      </c>
      <c r="B1" s="1"/>
      <c r="C1" s="1"/>
      <c r="D1" s="1"/>
    </row>
    <row r="2" customFormat="false" ht="18" hidden="false" customHeight="true" outlineLevel="0" collapsed="false">
      <c r="A2" s="2" t="s">
        <v>563</v>
      </c>
      <c r="B2" s="2"/>
      <c r="C2" s="2"/>
      <c r="D2" s="2"/>
    </row>
    <row r="4" customFormat="false" ht="13.5" hidden="false" customHeight="true" outlineLevel="0" collapsed="false">
      <c r="A4" s="3" t="s">
        <v>2</v>
      </c>
      <c r="B4" s="3"/>
      <c r="C4" s="3"/>
      <c r="D4" s="3"/>
    </row>
    <row r="5" customFormat="false" ht="25.5" hidden="false" customHeight="true" outlineLevel="0" collapsed="false">
      <c r="A5" s="4" t="s">
        <v>564</v>
      </c>
      <c r="B5" s="4"/>
      <c r="C5" s="4"/>
      <c r="D5" s="4"/>
    </row>
    <row r="6" customFormat="false" ht="13.5" hidden="false" customHeight="true" outlineLevel="0" collapsed="false">
      <c r="A6" s="4" t="s">
        <v>565</v>
      </c>
      <c r="B6" s="4"/>
      <c r="C6" s="4"/>
      <c r="D6" s="4"/>
    </row>
    <row r="7" customFormat="false" ht="13.5" hidden="false" customHeight="true" outlineLevel="0" collapsed="false">
      <c r="A7" s="4" t="s">
        <v>566</v>
      </c>
      <c r="B7" s="4"/>
      <c r="C7" s="4"/>
      <c r="D7" s="4"/>
    </row>
    <row r="9" customFormat="false" ht="19.5" hidden="false" customHeight="true" outlineLevel="0" collapsed="false">
      <c r="A9" s="5" t="s">
        <v>567</v>
      </c>
      <c r="B9" s="5"/>
      <c r="C9" s="5"/>
      <c r="D9" s="5"/>
    </row>
    <row r="10" customFormat="false" ht="25.5" hidden="false" customHeight="true" outlineLevel="0" collapsed="false">
      <c r="A10" s="18" t="s">
        <v>568</v>
      </c>
      <c r="B10" s="19" t="s">
        <v>569</v>
      </c>
      <c r="C10" s="19"/>
      <c r="D10" s="19"/>
    </row>
    <row r="11" customFormat="false" ht="15.75" hidden="false" customHeight="true" outlineLevel="0" collapsed="false">
      <c r="A11" s="20" t="s">
        <v>570</v>
      </c>
      <c r="B11" s="20"/>
      <c r="C11" s="20"/>
      <c r="D11" s="20"/>
    </row>
    <row r="12" customFormat="false" ht="25.5" hidden="false" customHeight="true" outlineLevel="0" collapsed="false">
      <c r="A12" s="18" t="s">
        <v>571</v>
      </c>
      <c r="B12" s="19" t="s">
        <v>572</v>
      </c>
      <c r="C12" s="19"/>
      <c r="D12" s="19"/>
    </row>
    <row r="13" customFormat="false" ht="15.75" hidden="false" customHeight="true" outlineLevel="0" collapsed="false">
      <c r="A13" s="20" t="s">
        <v>570</v>
      </c>
      <c r="B13" s="20"/>
      <c r="C13" s="20"/>
      <c r="D13" s="20"/>
    </row>
    <row r="14" customFormat="false" ht="25.5" hidden="false" customHeight="true" outlineLevel="0" collapsed="false">
      <c r="A14" s="18" t="s">
        <v>573</v>
      </c>
      <c r="B14" s="19" t="s">
        <v>574</v>
      </c>
      <c r="C14" s="19"/>
      <c r="D14" s="19"/>
    </row>
    <row r="16" customFormat="false" ht="19.5" hidden="false" customHeight="true" outlineLevel="0" collapsed="false">
      <c r="A16" s="5" t="s">
        <v>575</v>
      </c>
      <c r="B16" s="5"/>
      <c r="C16" s="5"/>
      <c r="D16" s="5"/>
    </row>
    <row r="17" customFormat="false" ht="18" hidden="false" customHeight="true" outlineLevel="0" collapsed="false">
      <c r="A17" s="21" t="s">
        <v>219</v>
      </c>
      <c r="B17" s="21"/>
      <c r="C17" s="22" t="s">
        <v>576</v>
      </c>
      <c r="D17" s="22"/>
    </row>
    <row r="18" customFormat="false" ht="18" hidden="false" customHeight="true" outlineLevel="0" collapsed="false">
      <c r="A18" s="23" t="s">
        <v>577</v>
      </c>
      <c r="B18" s="23"/>
      <c r="C18" s="22" t="s">
        <v>578</v>
      </c>
      <c r="D18" s="22"/>
    </row>
    <row r="19" customFormat="false" ht="18" hidden="false" customHeight="true" outlineLevel="0" collapsed="false">
      <c r="A19" s="24" t="s">
        <v>579</v>
      </c>
      <c r="B19" s="24"/>
      <c r="C19" s="22" t="s">
        <v>580</v>
      </c>
      <c r="D19" s="22"/>
    </row>
    <row r="20" customFormat="false" ht="18" hidden="false" customHeight="true" outlineLevel="0" collapsed="false">
      <c r="A20" s="24" t="s">
        <v>581</v>
      </c>
      <c r="B20" s="24"/>
      <c r="C20" s="22" t="s">
        <v>582</v>
      </c>
      <c r="D20" s="22"/>
    </row>
    <row r="21" customFormat="false" ht="18" hidden="false" customHeight="true" outlineLevel="0" collapsed="false">
      <c r="A21" s="23" t="s">
        <v>583</v>
      </c>
      <c r="B21" s="23"/>
      <c r="C21" s="22" t="s">
        <v>584</v>
      </c>
      <c r="D21" s="22"/>
    </row>
    <row r="22" customFormat="false" ht="18" hidden="false" customHeight="true" outlineLevel="0" collapsed="false">
      <c r="A22" s="24" t="s">
        <v>585</v>
      </c>
      <c r="B22" s="24"/>
      <c r="C22" s="22" t="s">
        <v>586</v>
      </c>
      <c r="D22" s="22"/>
    </row>
    <row r="23" customFormat="false" ht="18" hidden="false" customHeight="true" outlineLevel="0" collapsed="false">
      <c r="A23" s="24" t="s">
        <v>587</v>
      </c>
      <c r="B23" s="24"/>
      <c r="C23" s="22" t="s">
        <v>588</v>
      </c>
      <c r="D23" s="22"/>
    </row>
    <row r="24" customFormat="false" ht="18" hidden="false" customHeight="true" outlineLevel="0" collapsed="false">
      <c r="A24" s="23" t="s">
        <v>589</v>
      </c>
      <c r="B24" s="23"/>
      <c r="C24" s="22" t="s">
        <v>590</v>
      </c>
      <c r="D24" s="22"/>
    </row>
    <row r="25" customFormat="false" ht="18" hidden="false" customHeight="true" outlineLevel="0" collapsed="false">
      <c r="A25" s="24" t="s">
        <v>591</v>
      </c>
      <c r="B25" s="24"/>
      <c r="C25" s="22" t="s">
        <v>592</v>
      </c>
      <c r="D25" s="22"/>
    </row>
  </sheetData>
  <mergeCells count="31">
    <mergeCell ref="A1:D1"/>
    <mergeCell ref="A2:D2"/>
    <mergeCell ref="A4:D4"/>
    <mergeCell ref="A5:D5"/>
    <mergeCell ref="A6:D6"/>
    <mergeCell ref="A7:D7"/>
    <mergeCell ref="A9:D9"/>
    <mergeCell ref="B10:D10"/>
    <mergeCell ref="A11:D11"/>
    <mergeCell ref="B12:D12"/>
    <mergeCell ref="A13:D13"/>
    <mergeCell ref="B14:D14"/>
    <mergeCell ref="A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6B"/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20"/>
    <col collapsed="false" customWidth="true" hidden="false" outlineLevel="0" max="6" min="6" style="0" width="44"/>
  </cols>
  <sheetData>
    <row r="1" customFormat="false" ht="30" hidden="false" customHeight="true" outlineLevel="0" collapsed="false">
      <c r="A1" s="1" t="s">
        <v>593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594</v>
      </c>
      <c r="B2" s="2"/>
      <c r="C2" s="2"/>
      <c r="D2" s="2"/>
      <c r="E2" s="2"/>
      <c r="F2" s="2"/>
    </row>
    <row r="4" customFormat="false" ht="13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3.5" hidden="false" customHeight="true" outlineLevel="0" collapsed="false">
      <c r="A5" s="4" t="s">
        <v>595</v>
      </c>
      <c r="B5" s="4"/>
      <c r="C5" s="4"/>
      <c r="D5" s="4"/>
      <c r="E5" s="4"/>
      <c r="F5" s="4"/>
    </row>
    <row r="6" customFormat="false" ht="25.5" hidden="false" customHeight="true" outlineLevel="0" collapsed="false">
      <c r="A6" s="4" t="s">
        <v>596</v>
      </c>
      <c r="B6" s="4"/>
      <c r="C6" s="4"/>
      <c r="D6" s="4"/>
      <c r="E6" s="4"/>
      <c r="F6" s="4"/>
    </row>
    <row r="7" customFormat="false" ht="13.5" hidden="false" customHeight="true" outlineLevel="0" collapsed="false">
      <c r="A7" s="4" t="s">
        <v>597</v>
      </c>
      <c r="B7" s="4"/>
      <c r="C7" s="4"/>
      <c r="D7" s="4"/>
      <c r="E7" s="4"/>
      <c r="F7" s="4"/>
    </row>
    <row r="9" customFormat="false" ht="15" hidden="false" customHeight="false" outlineLevel="0" collapsed="false">
      <c r="A9" s="11" t="s">
        <v>53</v>
      </c>
    </row>
    <row r="10" customFormat="false" ht="48" hidden="false" customHeight="true" outlineLevel="0" collapsed="false">
      <c r="A10" s="12" t="s">
        <v>598</v>
      </c>
      <c r="B10" s="12" t="s">
        <v>599</v>
      </c>
      <c r="C10" s="12" t="s">
        <v>600</v>
      </c>
      <c r="D10" s="12" t="s">
        <v>601</v>
      </c>
      <c r="E10" s="12" t="s">
        <v>602</v>
      </c>
      <c r="F10" s="12" t="s">
        <v>603</v>
      </c>
    </row>
    <row r="11" customFormat="false" ht="25.5" hidden="false" customHeight="true" outlineLevel="0" collapsed="false">
      <c r="A11" s="13" t="s">
        <v>604</v>
      </c>
      <c r="B11" s="13" t="s">
        <v>605</v>
      </c>
      <c r="C11" s="13" t="s">
        <v>606</v>
      </c>
      <c r="D11" s="13" t="s">
        <v>607</v>
      </c>
      <c r="E11" s="13" t="s">
        <v>608</v>
      </c>
      <c r="F11" s="13" t="s">
        <v>609</v>
      </c>
    </row>
    <row r="12" customFormat="false" ht="19.5" hidden="false" customHeight="true" outlineLevel="0" collapsed="false">
      <c r="A12" s="7" t="s">
        <v>610</v>
      </c>
      <c r="B12" s="7" t="s">
        <v>11</v>
      </c>
      <c r="C12" s="7" t="s">
        <v>611</v>
      </c>
      <c r="D12" s="7" t="s">
        <v>612</v>
      </c>
      <c r="E12" s="7" t="s">
        <v>613</v>
      </c>
      <c r="F12" s="7" t="s">
        <v>614</v>
      </c>
    </row>
    <row r="13" customFormat="false" ht="19.5" hidden="false" customHeight="true" outlineLevel="0" collapsed="false">
      <c r="A13" s="7" t="s">
        <v>610</v>
      </c>
      <c r="B13" s="7" t="s">
        <v>615</v>
      </c>
      <c r="C13" s="7" t="s">
        <v>611</v>
      </c>
      <c r="D13" s="7" t="s">
        <v>616</v>
      </c>
      <c r="E13" s="7" t="s">
        <v>613</v>
      </c>
      <c r="F13" s="7" t="s">
        <v>617</v>
      </c>
    </row>
    <row r="14" customFormat="false" ht="19.5" hidden="false" customHeight="true" outlineLevel="0" collapsed="false">
      <c r="A14" s="7" t="s">
        <v>618</v>
      </c>
      <c r="B14" s="7" t="s">
        <v>619</v>
      </c>
      <c r="C14" s="7" t="s">
        <v>611</v>
      </c>
      <c r="D14" s="7" t="s">
        <v>620</v>
      </c>
      <c r="E14" s="7" t="s">
        <v>621</v>
      </c>
      <c r="F14" s="7" t="s">
        <v>622</v>
      </c>
    </row>
    <row r="15" customFormat="false" ht="19.5" hidden="false" customHeight="true" outlineLevel="0" collapsed="false">
      <c r="A15" s="7" t="s">
        <v>618</v>
      </c>
      <c r="B15" s="7" t="s">
        <v>619</v>
      </c>
      <c r="C15" s="7" t="s">
        <v>623</v>
      </c>
      <c r="D15" s="7" t="s">
        <v>620</v>
      </c>
      <c r="E15" s="7" t="s">
        <v>621</v>
      </c>
      <c r="F15" s="7" t="s">
        <v>622</v>
      </c>
    </row>
    <row r="16" customFormat="false" ht="19.5" hidden="false" customHeight="true" outlineLevel="0" collapsed="false">
      <c r="A16" s="7" t="s">
        <v>47</v>
      </c>
      <c r="B16" s="7" t="s">
        <v>63</v>
      </c>
      <c r="C16" s="7" t="s">
        <v>623</v>
      </c>
      <c r="D16" s="7" t="s">
        <v>624</v>
      </c>
      <c r="E16" s="7" t="s">
        <v>613</v>
      </c>
      <c r="F16" s="7" t="s">
        <v>625</v>
      </c>
    </row>
    <row r="17" customFormat="false" ht="19.5" hidden="false" customHeight="true" outlineLevel="0" collapsed="false">
      <c r="A17" s="7" t="s">
        <v>47</v>
      </c>
      <c r="B17" s="7" t="s">
        <v>64</v>
      </c>
      <c r="C17" s="7" t="s">
        <v>623</v>
      </c>
      <c r="D17" s="7" t="s">
        <v>612</v>
      </c>
      <c r="E17" s="7" t="s">
        <v>613</v>
      </c>
      <c r="F17" s="7" t="s">
        <v>626</v>
      </c>
    </row>
    <row r="18" customFormat="false" ht="19.5" hidden="false" customHeight="true" outlineLevel="0" collapsed="false">
      <c r="A18" s="7" t="s">
        <v>47</v>
      </c>
      <c r="B18" s="7" t="s">
        <v>65</v>
      </c>
      <c r="C18" s="7" t="s">
        <v>623</v>
      </c>
      <c r="D18" s="7" t="s">
        <v>616</v>
      </c>
      <c r="E18" s="7" t="s">
        <v>613</v>
      </c>
      <c r="F18" s="7" t="s">
        <v>627</v>
      </c>
    </row>
    <row r="19" customFormat="false" ht="19.5" hidden="false" customHeight="true" outlineLevel="0" collapsed="false">
      <c r="A19" s="7" t="s">
        <v>47</v>
      </c>
      <c r="B19" s="7" t="s">
        <v>66</v>
      </c>
      <c r="C19" s="7" t="s">
        <v>623</v>
      </c>
      <c r="D19" s="7" t="s">
        <v>628</v>
      </c>
      <c r="E19" s="7" t="s">
        <v>613</v>
      </c>
      <c r="F19" s="7" t="s">
        <v>629</v>
      </c>
    </row>
    <row r="20" customFormat="false" ht="19.5" hidden="false" customHeight="true" outlineLevel="0" collapsed="false">
      <c r="A20" s="7" t="s">
        <v>47</v>
      </c>
      <c r="B20" s="7" t="s">
        <v>67</v>
      </c>
      <c r="C20" s="7" t="s">
        <v>623</v>
      </c>
      <c r="D20" s="7" t="s">
        <v>630</v>
      </c>
      <c r="E20" s="7" t="s">
        <v>613</v>
      </c>
      <c r="F20" s="7" t="s">
        <v>631</v>
      </c>
    </row>
    <row r="21" customFormat="false" ht="19.5" hidden="false" customHeight="true" outlineLevel="0" collapsed="false">
      <c r="A21" s="7" t="s">
        <v>47</v>
      </c>
      <c r="B21" s="7" t="s">
        <v>68</v>
      </c>
      <c r="C21" s="7" t="s">
        <v>623</v>
      </c>
      <c r="D21" s="7" t="s">
        <v>632</v>
      </c>
      <c r="E21" s="7" t="s">
        <v>633</v>
      </c>
      <c r="F21" s="7" t="s">
        <v>634</v>
      </c>
    </row>
    <row r="22" customFormat="false" ht="19.5" hidden="false" customHeight="true" outlineLevel="0" collapsed="false">
      <c r="A22" s="7" t="s">
        <v>47</v>
      </c>
      <c r="B22" s="7" t="s">
        <v>69</v>
      </c>
      <c r="C22" s="7" t="s">
        <v>623</v>
      </c>
      <c r="D22" s="7" t="s">
        <v>635</v>
      </c>
      <c r="E22" s="7" t="s">
        <v>636</v>
      </c>
      <c r="F22" s="7" t="s">
        <v>637</v>
      </c>
    </row>
    <row r="23" customFormat="false" ht="19.5" hidden="false" customHeight="true" outlineLevel="0" collapsed="false">
      <c r="A23" s="7" t="s">
        <v>47</v>
      </c>
      <c r="B23" s="7" t="s">
        <v>70</v>
      </c>
      <c r="C23" s="7" t="s">
        <v>623</v>
      </c>
      <c r="D23" s="7" t="s">
        <v>638</v>
      </c>
      <c r="E23" s="7" t="s">
        <v>613</v>
      </c>
      <c r="F23" s="7" t="s">
        <v>639</v>
      </c>
    </row>
    <row r="24" customFormat="false" ht="19.5" hidden="false" customHeight="true" outlineLevel="0" collapsed="false">
      <c r="A24" s="7" t="s">
        <v>47</v>
      </c>
      <c r="B24" s="7" t="s">
        <v>71</v>
      </c>
      <c r="C24" s="7" t="s">
        <v>623</v>
      </c>
      <c r="D24" s="7" t="s">
        <v>640</v>
      </c>
      <c r="E24" s="7" t="s">
        <v>613</v>
      </c>
      <c r="F24" s="7" t="s">
        <v>631</v>
      </c>
    </row>
    <row r="25" customFormat="false" ht="19.5" hidden="false" customHeight="true" outlineLevel="0" collapsed="false">
      <c r="A25" s="7" t="s">
        <v>618</v>
      </c>
      <c r="B25" s="7" t="s">
        <v>641</v>
      </c>
      <c r="C25" s="7" t="s">
        <v>623</v>
      </c>
      <c r="D25" s="7" t="s">
        <v>642</v>
      </c>
      <c r="E25" s="7" t="s">
        <v>643</v>
      </c>
      <c r="F25" s="7" t="s">
        <v>644</v>
      </c>
    </row>
    <row r="26" customFormat="false" ht="19.5" hidden="false" customHeight="true" outlineLevel="0" collapsed="false">
      <c r="A26" s="7" t="s">
        <v>618</v>
      </c>
      <c r="B26" s="7" t="s">
        <v>619</v>
      </c>
      <c r="C26" s="7" t="s">
        <v>645</v>
      </c>
      <c r="D26" s="7" t="s">
        <v>620</v>
      </c>
      <c r="E26" s="7" t="s">
        <v>621</v>
      </c>
      <c r="F26" s="7" t="s">
        <v>622</v>
      </c>
    </row>
    <row r="27" customFormat="false" ht="19.5" hidden="false" customHeight="true" outlineLevel="0" collapsed="false">
      <c r="A27" s="7" t="s">
        <v>197</v>
      </c>
      <c r="B27" s="7" t="s">
        <v>213</v>
      </c>
      <c r="C27" s="7" t="s">
        <v>645</v>
      </c>
      <c r="D27" s="7" t="s">
        <v>624</v>
      </c>
      <c r="E27" s="7" t="s">
        <v>613</v>
      </c>
      <c r="F27" s="7" t="s">
        <v>646</v>
      </c>
    </row>
    <row r="28" customFormat="false" ht="19.5" hidden="false" customHeight="true" outlineLevel="0" collapsed="false">
      <c r="A28" s="7" t="s">
        <v>197</v>
      </c>
      <c r="B28" s="7" t="s">
        <v>63</v>
      </c>
      <c r="C28" s="7" t="s">
        <v>645</v>
      </c>
      <c r="D28" s="7" t="s">
        <v>647</v>
      </c>
      <c r="E28" s="7" t="s">
        <v>643</v>
      </c>
      <c r="F28" s="7" t="s">
        <v>648</v>
      </c>
    </row>
    <row r="29" customFormat="false" ht="19.5" hidden="false" customHeight="true" outlineLevel="0" collapsed="false">
      <c r="A29" s="7" t="s">
        <v>197</v>
      </c>
      <c r="B29" s="7" t="s">
        <v>214</v>
      </c>
      <c r="C29" s="7" t="s">
        <v>645</v>
      </c>
      <c r="D29" s="7" t="s">
        <v>612</v>
      </c>
      <c r="E29" s="7" t="s">
        <v>613</v>
      </c>
      <c r="F29" s="7" t="s">
        <v>649</v>
      </c>
    </row>
    <row r="30" customFormat="false" ht="19.5" hidden="false" customHeight="true" outlineLevel="0" collapsed="false">
      <c r="A30" s="7" t="s">
        <v>197</v>
      </c>
      <c r="B30" s="7" t="s">
        <v>65</v>
      </c>
      <c r="C30" s="7" t="s">
        <v>645</v>
      </c>
      <c r="D30" s="7" t="s">
        <v>616</v>
      </c>
      <c r="E30" s="7" t="s">
        <v>613</v>
      </c>
      <c r="F30" s="7" t="s">
        <v>650</v>
      </c>
    </row>
    <row r="31" customFormat="false" ht="19.5" hidden="false" customHeight="true" outlineLevel="0" collapsed="false">
      <c r="A31" s="7" t="s">
        <v>197</v>
      </c>
      <c r="B31" s="7" t="s">
        <v>215</v>
      </c>
      <c r="C31" s="7" t="s">
        <v>645</v>
      </c>
      <c r="D31" s="7" t="s">
        <v>651</v>
      </c>
      <c r="E31" s="7" t="s">
        <v>613</v>
      </c>
      <c r="F31" s="7" t="s">
        <v>652</v>
      </c>
    </row>
    <row r="32" customFormat="false" ht="19.5" hidden="false" customHeight="true" outlineLevel="0" collapsed="false">
      <c r="A32" s="7" t="s">
        <v>197</v>
      </c>
      <c r="B32" s="7" t="s">
        <v>68</v>
      </c>
      <c r="C32" s="7" t="s">
        <v>645</v>
      </c>
      <c r="D32" s="7" t="s">
        <v>632</v>
      </c>
      <c r="E32" s="7" t="s">
        <v>633</v>
      </c>
      <c r="F32" s="7" t="s">
        <v>653</v>
      </c>
    </row>
    <row r="33" customFormat="false" ht="19.5" hidden="false" customHeight="true" outlineLevel="0" collapsed="false">
      <c r="A33" s="7" t="s">
        <v>197</v>
      </c>
      <c r="B33" s="7" t="s">
        <v>69</v>
      </c>
      <c r="C33" s="7" t="s">
        <v>645</v>
      </c>
      <c r="D33" s="7" t="s">
        <v>635</v>
      </c>
      <c r="E33" s="7" t="s">
        <v>636</v>
      </c>
      <c r="F33" s="7" t="s">
        <v>637</v>
      </c>
    </row>
    <row r="34" customFormat="false" ht="19.5" hidden="false" customHeight="true" outlineLevel="0" collapsed="false">
      <c r="A34" s="7" t="s">
        <v>197</v>
      </c>
      <c r="B34" s="7" t="s">
        <v>70</v>
      </c>
      <c r="C34" s="7" t="s">
        <v>645</v>
      </c>
      <c r="D34" s="7" t="s">
        <v>638</v>
      </c>
      <c r="E34" s="7" t="s">
        <v>613</v>
      </c>
      <c r="F34" s="7" t="s">
        <v>639</v>
      </c>
    </row>
    <row r="35" customFormat="false" ht="19.5" hidden="false" customHeight="true" outlineLevel="0" collapsed="false">
      <c r="A35" s="7" t="s">
        <v>197</v>
      </c>
      <c r="B35" s="7" t="s">
        <v>71</v>
      </c>
      <c r="C35" s="7" t="s">
        <v>645</v>
      </c>
      <c r="D35" s="7" t="s">
        <v>640</v>
      </c>
      <c r="E35" s="7" t="s">
        <v>613</v>
      </c>
      <c r="F35" s="7" t="s">
        <v>631</v>
      </c>
    </row>
    <row r="36" customFormat="false" ht="19.5" hidden="false" customHeight="true" outlineLevel="0" collapsed="false">
      <c r="A36" s="7" t="s">
        <v>197</v>
      </c>
      <c r="B36" s="7" t="s">
        <v>64</v>
      </c>
      <c r="C36" s="7" t="s">
        <v>645</v>
      </c>
      <c r="D36" s="7" t="s">
        <v>654</v>
      </c>
      <c r="E36" s="7" t="s">
        <v>618</v>
      </c>
      <c r="F36" s="7" t="s">
        <v>655</v>
      </c>
    </row>
  </sheetData>
  <mergeCells count="6">
    <mergeCell ref="A1:F1"/>
    <mergeCell ref="A2:F2"/>
    <mergeCell ref="A4:F4"/>
    <mergeCell ref="A5:F5"/>
    <mergeCell ref="A6:F6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6B"/>
    <pageSetUpPr fitToPage="false"/>
  </sheetPr>
  <dimension ref="A1:C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656</v>
      </c>
      <c r="B1" s="1"/>
      <c r="C1" s="1"/>
    </row>
    <row r="2" customFormat="false" ht="18" hidden="false" customHeight="true" outlineLevel="0" collapsed="false">
      <c r="A2" s="2" t="s">
        <v>657</v>
      </c>
      <c r="B2" s="2"/>
      <c r="C2" s="2"/>
    </row>
    <row r="4" customFormat="false" ht="13.5" hidden="false" customHeight="true" outlineLevel="0" collapsed="false">
      <c r="A4" s="3" t="s">
        <v>2</v>
      </c>
      <c r="B4" s="3"/>
      <c r="C4" s="3"/>
    </row>
    <row r="5" customFormat="false" ht="13.5" hidden="false" customHeight="true" outlineLevel="0" collapsed="false">
      <c r="A5" s="4" t="s">
        <v>658</v>
      </c>
      <c r="B5" s="4"/>
      <c r="C5" s="4"/>
    </row>
    <row r="6" customFormat="false" ht="13.5" hidden="false" customHeight="true" outlineLevel="0" collapsed="false">
      <c r="A6" s="4" t="s">
        <v>659</v>
      </c>
      <c r="B6" s="4"/>
      <c r="C6" s="4"/>
    </row>
    <row r="8" customFormat="false" ht="19.5" hidden="false" customHeight="true" outlineLevel="0" collapsed="false">
      <c r="A8" s="5" t="s">
        <v>660</v>
      </c>
      <c r="B8" s="5"/>
      <c r="C8" s="5"/>
    </row>
    <row r="9" customFormat="false" ht="21.75" hidden="false" customHeight="true" outlineLevel="0" collapsed="false">
      <c r="A9" s="13" t="s">
        <v>661</v>
      </c>
      <c r="B9" s="13" t="s">
        <v>662</v>
      </c>
      <c r="C9" s="13" t="s">
        <v>663</v>
      </c>
    </row>
    <row r="10" customFormat="false" ht="18" hidden="false" customHeight="true" outlineLevel="0" collapsed="false">
      <c r="A10" s="25" t="s">
        <v>47</v>
      </c>
      <c r="B10" s="25" t="s">
        <v>664</v>
      </c>
      <c r="C10" s="25" t="s">
        <v>665</v>
      </c>
    </row>
    <row r="11" customFormat="false" ht="25.5" hidden="false" customHeight="true" outlineLevel="0" collapsed="false">
      <c r="A11" s="25" t="s">
        <v>197</v>
      </c>
      <c r="B11" s="25" t="s">
        <v>666</v>
      </c>
      <c r="C11" s="25" t="s">
        <v>667</v>
      </c>
    </row>
    <row r="12" customFormat="false" ht="18" hidden="false" customHeight="true" outlineLevel="0" collapsed="false">
      <c r="A12" s="25" t="s">
        <v>610</v>
      </c>
      <c r="B12" s="25" t="s">
        <v>668</v>
      </c>
      <c r="C12" s="25" t="s">
        <v>669</v>
      </c>
    </row>
    <row r="14" customFormat="false" ht="19.5" hidden="false" customHeight="true" outlineLevel="0" collapsed="false">
      <c r="A14" s="5" t="s">
        <v>670</v>
      </c>
      <c r="B14" s="5"/>
      <c r="C14" s="5"/>
    </row>
    <row r="15" customFormat="false" ht="21.75" hidden="false" customHeight="true" outlineLevel="0" collapsed="false">
      <c r="A15" s="13" t="s">
        <v>661</v>
      </c>
      <c r="B15" s="13" t="s">
        <v>671</v>
      </c>
      <c r="C15" s="13" t="s">
        <v>672</v>
      </c>
    </row>
    <row r="16" customFormat="false" ht="18" hidden="false" customHeight="true" outlineLevel="0" collapsed="false">
      <c r="A16" s="25" t="s">
        <v>47</v>
      </c>
      <c r="B16" s="25" t="s">
        <v>673</v>
      </c>
      <c r="C16" s="25" t="s">
        <v>674</v>
      </c>
    </row>
    <row r="17" customFormat="false" ht="18" hidden="false" customHeight="true" outlineLevel="0" collapsed="false">
      <c r="A17" s="25" t="s">
        <v>197</v>
      </c>
      <c r="B17" s="25" t="s">
        <v>675</v>
      </c>
      <c r="C17" s="25" t="s">
        <v>676</v>
      </c>
    </row>
    <row r="19" customFormat="false" ht="19.5" hidden="false" customHeight="true" outlineLevel="0" collapsed="false">
      <c r="A19" s="5" t="s">
        <v>677</v>
      </c>
      <c r="B19" s="5"/>
      <c r="C19" s="5"/>
    </row>
    <row r="20" customFormat="false" ht="21.75" hidden="false" customHeight="true" outlineLevel="0" collapsed="false">
      <c r="A20" s="13" t="s">
        <v>23</v>
      </c>
      <c r="B20" s="13" t="s">
        <v>678</v>
      </c>
      <c r="C20" s="13" t="s">
        <v>679</v>
      </c>
    </row>
    <row r="21" customFormat="false" ht="18" hidden="false" customHeight="true" outlineLevel="0" collapsed="false">
      <c r="A21" s="25" t="s">
        <v>680</v>
      </c>
      <c r="B21" s="25" t="s">
        <v>681</v>
      </c>
      <c r="C21" s="25" t="s">
        <v>682</v>
      </c>
    </row>
    <row r="22" customFormat="false" ht="25.5" hidden="false" customHeight="true" outlineLevel="0" collapsed="false">
      <c r="A22" s="25" t="s">
        <v>683</v>
      </c>
      <c r="B22" s="25" t="s">
        <v>684</v>
      </c>
      <c r="C22" s="25" t="s">
        <v>682</v>
      </c>
    </row>
    <row r="23" customFormat="false" ht="25.5" hidden="false" customHeight="true" outlineLevel="0" collapsed="false">
      <c r="A23" s="25" t="s">
        <v>685</v>
      </c>
      <c r="B23" s="25" t="s">
        <v>686</v>
      </c>
      <c r="C23" s="25" t="s">
        <v>687</v>
      </c>
    </row>
    <row r="25" customFormat="false" ht="19.5" hidden="false" customHeight="true" outlineLevel="0" collapsed="false">
      <c r="A25" s="5" t="s">
        <v>688</v>
      </c>
      <c r="B25" s="5"/>
      <c r="C25" s="5"/>
    </row>
    <row r="26" customFormat="false" ht="21.75" hidden="false" customHeight="true" outlineLevel="0" collapsed="false">
      <c r="A26" s="13" t="s">
        <v>689</v>
      </c>
      <c r="B26" s="13" t="s">
        <v>690</v>
      </c>
      <c r="C26" s="13" t="s">
        <v>691</v>
      </c>
    </row>
    <row r="27" customFormat="false" ht="39" hidden="false" customHeight="true" outlineLevel="0" collapsed="false">
      <c r="A27" s="25" t="s">
        <v>692</v>
      </c>
      <c r="B27" s="25" t="s">
        <v>693</v>
      </c>
      <c r="C27" s="25" t="s">
        <v>694</v>
      </c>
    </row>
    <row r="28" customFormat="false" ht="25.5" hidden="false" customHeight="true" outlineLevel="0" collapsed="false">
      <c r="A28" s="25" t="s">
        <v>695</v>
      </c>
      <c r="B28" s="25" t="s">
        <v>696</v>
      </c>
      <c r="C28" s="25" t="s">
        <v>697</v>
      </c>
    </row>
    <row r="29" customFormat="false" ht="18" hidden="false" customHeight="true" outlineLevel="0" collapsed="false">
      <c r="A29" s="25" t="s">
        <v>698</v>
      </c>
      <c r="B29" s="25" t="s">
        <v>699</v>
      </c>
      <c r="C29" s="25" t="s">
        <v>700</v>
      </c>
    </row>
    <row r="30" customFormat="false" ht="25.5" hidden="false" customHeight="true" outlineLevel="0" collapsed="false">
      <c r="A30" s="25" t="s">
        <v>701</v>
      </c>
      <c r="B30" s="25" t="s">
        <v>702</v>
      </c>
      <c r="C30" s="25" t="s">
        <v>703</v>
      </c>
    </row>
    <row r="31" customFormat="false" ht="25.5" hidden="false" customHeight="true" outlineLevel="0" collapsed="false">
      <c r="A31" s="25" t="s">
        <v>704</v>
      </c>
      <c r="B31" s="25" t="s">
        <v>705</v>
      </c>
      <c r="C31" s="25" t="s">
        <v>706</v>
      </c>
    </row>
    <row r="33" customFormat="false" ht="19.5" hidden="false" customHeight="true" outlineLevel="0" collapsed="false">
      <c r="A33" s="5" t="s">
        <v>707</v>
      </c>
      <c r="B33" s="5"/>
      <c r="C33" s="5"/>
    </row>
    <row r="34" customFormat="false" ht="21.75" hidden="false" customHeight="true" outlineLevel="0" collapsed="false">
      <c r="A34" s="13" t="s">
        <v>708</v>
      </c>
      <c r="B34" s="13" t="s">
        <v>689</v>
      </c>
      <c r="C34" s="13" t="s">
        <v>691</v>
      </c>
    </row>
    <row r="35" customFormat="false" ht="39" hidden="false" customHeight="true" outlineLevel="0" collapsed="false">
      <c r="A35" s="25" t="s">
        <v>709</v>
      </c>
      <c r="B35" s="25" t="s">
        <v>710</v>
      </c>
      <c r="C35" s="25" t="s">
        <v>711</v>
      </c>
    </row>
    <row r="36" customFormat="false" ht="25.5" hidden="false" customHeight="true" outlineLevel="0" collapsed="false">
      <c r="A36" s="25" t="s">
        <v>68</v>
      </c>
      <c r="B36" s="25" t="s">
        <v>712</v>
      </c>
      <c r="C36" s="25" t="s">
        <v>713</v>
      </c>
    </row>
    <row r="37" customFormat="false" ht="18" hidden="false" customHeight="true" outlineLevel="0" collapsed="false">
      <c r="A37" s="25" t="s">
        <v>66</v>
      </c>
      <c r="B37" s="25" t="s">
        <v>714</v>
      </c>
      <c r="C37" s="25" t="s">
        <v>715</v>
      </c>
    </row>
    <row r="38" customFormat="false" ht="39" hidden="false" customHeight="true" outlineLevel="0" collapsed="false">
      <c r="A38" s="25" t="s">
        <v>716</v>
      </c>
      <c r="B38" s="25" t="s">
        <v>717</v>
      </c>
      <c r="C38" s="25" t="s">
        <v>718</v>
      </c>
    </row>
    <row r="39" customFormat="false" ht="18" hidden="false" customHeight="true" outlineLevel="0" collapsed="false">
      <c r="A39" s="25" t="s">
        <v>70</v>
      </c>
      <c r="B39" s="25" t="s">
        <v>719</v>
      </c>
      <c r="C39" s="25" t="s">
        <v>720</v>
      </c>
    </row>
    <row r="40" customFormat="false" ht="25.5" hidden="false" customHeight="true" outlineLevel="0" collapsed="false">
      <c r="A40" s="25" t="s">
        <v>721</v>
      </c>
      <c r="B40" s="25" t="s">
        <v>722</v>
      </c>
      <c r="C40" s="25" t="s">
        <v>723</v>
      </c>
    </row>
    <row r="41" customFormat="false" ht="25.5" hidden="false" customHeight="true" outlineLevel="0" collapsed="false">
      <c r="A41" s="25" t="s">
        <v>724</v>
      </c>
      <c r="B41" s="25" t="s">
        <v>725</v>
      </c>
      <c r="C41" s="25" t="s">
        <v>618</v>
      </c>
    </row>
    <row r="43" customFormat="false" ht="19.5" hidden="false" customHeight="true" outlineLevel="0" collapsed="false">
      <c r="A43" s="5" t="s">
        <v>726</v>
      </c>
      <c r="B43" s="5"/>
      <c r="C43" s="5"/>
    </row>
    <row r="44" customFormat="false" ht="21.75" hidden="false" customHeight="true" outlineLevel="0" collapsed="false">
      <c r="A44" s="13" t="s">
        <v>727</v>
      </c>
      <c r="B44" s="13" t="s">
        <v>728</v>
      </c>
      <c r="C44" s="13" t="s">
        <v>71</v>
      </c>
    </row>
    <row r="45" customFormat="false" ht="25.5" hidden="false" customHeight="true" outlineLevel="0" collapsed="false">
      <c r="A45" s="25" t="s">
        <v>729</v>
      </c>
      <c r="B45" s="25" t="s">
        <v>730</v>
      </c>
      <c r="C45" s="25" t="s">
        <v>731</v>
      </c>
    </row>
    <row r="46" customFormat="false" ht="25.5" hidden="false" customHeight="true" outlineLevel="0" collapsed="false">
      <c r="A46" s="25" t="s">
        <v>732</v>
      </c>
      <c r="B46" s="25" t="s">
        <v>733</v>
      </c>
      <c r="C46" s="25" t="s">
        <v>734</v>
      </c>
    </row>
    <row r="47" customFormat="false" ht="25.5" hidden="false" customHeight="true" outlineLevel="0" collapsed="false">
      <c r="A47" s="25" t="s">
        <v>735</v>
      </c>
      <c r="B47" s="25" t="s">
        <v>736</v>
      </c>
      <c r="C47" s="25" t="s">
        <v>737</v>
      </c>
    </row>
    <row r="48" customFormat="false" ht="25.5" hidden="false" customHeight="true" outlineLevel="0" collapsed="false">
      <c r="A48" s="25" t="s">
        <v>738</v>
      </c>
      <c r="B48" s="25" t="s">
        <v>739</v>
      </c>
      <c r="C48" s="25" t="s">
        <v>740</v>
      </c>
    </row>
  </sheetData>
  <mergeCells count="11">
    <mergeCell ref="A1:C1"/>
    <mergeCell ref="A2:C2"/>
    <mergeCell ref="A4:C4"/>
    <mergeCell ref="A5:C5"/>
    <mergeCell ref="A6:C6"/>
    <mergeCell ref="A8:C8"/>
    <mergeCell ref="A14:C14"/>
    <mergeCell ref="A19:C19"/>
    <mergeCell ref="A25:C25"/>
    <mergeCell ref="A33:C33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2026-07-02T12:36:24Z</dcterms:created>
  <dc:creator>openpyxl</dc:creator>
  <dc:description/>
  <dc:language>en-US</dc:language>
  <cp:lastModifiedBy/>
  <dcterms:modified xsi:type="dcterms:W3CDTF">2026-07-02T12:36:24Z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