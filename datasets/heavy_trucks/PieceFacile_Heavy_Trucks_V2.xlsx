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Overview" sheetId="1" state="visible" r:id="rId3"/>
    <sheet name="1️⃣ Brands" sheetId="2" state="visible" r:id="rId4"/>
    <sheet name="2️⃣ Models" sheetId="3" state="visible" r:id="rId5"/>
    <sheet name="3️⃣ Statistics" sheetId="4" state="visible" r:id="rId6"/>
    <sheet name="4️⃣ Hierarchy View" sheetId="5" state="visible" r:id="rId7"/>
    <sheet name="5️⃣ Database Mapping" sheetId="6" state="visible" r:id="rId8"/>
    <sheet name="6️⃣ Import Ru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<sst xmlns="http://schemas.openxmlformats.org/spreadsheetml/2006/main" count="1391" uniqueCount="855">
  <si>
    <t xml:space="preserve">PieceFacile Heavy Trucks — V2</t>
  </si>
  <si>
    <t xml:space="preserve">Official Heavy Trucks reference dataset · built on the PieceFacile Dataset Standard V1 · Algeria-first · Supabase/PostgreSQL-ready</t>
  </si>
  <si>
    <t xml:space="preserve">INSTRUCTIONS</t>
  </si>
  <si>
    <t xml:space="preserve">• This workbook is a production dataset built strictly on PieceFacile_Dataset_Standard_V1. Sheet order, columns, formatting, and rules are identical to the Standard; only the data differs.</t>
  </si>
  <si>
    <t xml:space="preserve">• Data sheets (1️⃣ Brands, 2️⃣ Models) contain only real, production brands and models curated Algeria-first: installed fleet size, aging fleets still requiring parts, and local assembly presence drive the Popularity Algeria (dz_tier) ranking.</t>
  </si>
  <si>
    <t xml:space="preserve">• Rows with Status = 'draft' are real entries excluded from import until confirmed (see the TIRSAM brand note). Never import draft rows.</t>
  </si>
  <si>
    <t xml:space="preserve">• V1 structural scope applies: no Families, Generations, Engines, VIN, OEM numbers, Compatibility, Trim Levels, or Technical Specifications.</t>
  </si>
  <si>
    <t xml:space="preserve">Dataset Metadata</t>
  </si>
  <si>
    <t xml:space="preserve">Dataset Name</t>
  </si>
  <si>
    <t xml:space="preserve">PieceFacile_Heavy_Trucks_V2</t>
  </si>
  <si>
    <t xml:space="preserve">Follows the Standard's naming convention PieceFacile_&lt;Category&gt;_V&lt;n&gt;</t>
  </si>
  <si>
    <t xml:space="preserve">Category</t>
  </si>
  <si>
    <t xml:space="preserve">Heavy Trucks</t>
  </si>
  <si>
    <t xml:space="preserve">Category code: heavy_truck</t>
  </si>
  <si>
    <t xml:space="preserve">Version</t>
  </si>
  <si>
    <t xml:space="preserve">2.0</t>
  </si>
  <si>
    <t xml:space="preserve">Full reconstruction on Dataset Standard V1; supersedes Heavy Trucks V1</t>
  </si>
  <si>
    <t xml:space="preserve">Market</t>
  </si>
  <si>
    <t xml:space="preserve">Algeria (DZ)</t>
  </si>
  <si>
    <t xml:space="preserve">All datasets are scoped Algeria-first</t>
  </si>
  <si>
    <t xml:space="preserve">Description</t>
  </si>
  <si>
    <t xml:space="preserve">Reference dataset of heavy truck brands and models for the PieceFacile spare-parts marketplace.</t>
  </si>
  <si>
    <t xml:space="preserve">European, American, Russian and Asian marques, active and historically important</t>
  </si>
  <si>
    <t xml:space="preserve">Scope</t>
  </si>
  <si>
    <t xml:space="preserve">Brands and Models only. Production models relevant to the Algerian market; no concept vehicles or prototypes.</t>
  </si>
  <si>
    <t xml:space="preserve">Covers current importers/assemblers and legacy fleets still generating parts demand</t>
  </si>
  <si>
    <t xml:space="preserve">Maintainer</t>
  </si>
  <si>
    <t xml:space="preserve">PieceFacile Data Team</t>
  </si>
  <si>
    <t xml:space="preserve">Person or team responsible for updates</t>
  </si>
  <si>
    <t xml:space="preserve">Source</t>
  </si>
  <si>
    <t xml:space="preserve">Curated: DZ importer/assembler landscape (SOPROVI-Meftah, Rouïba, Chlef, Aïn Ouessara projects), fleet knowledge, manufacturer catalogs, Algerian automotive press.</t>
  </si>
  <si>
    <t xml:space="preserve">All entries verified as real production marques/models</t>
  </si>
  <si>
    <t xml:space="preserve">Last Update</t>
  </si>
  <si>
    <t xml:space="preserve">2026-07-02</t>
  </si>
  <si>
    <t xml:space="preserve">ISO date (YYYY-MM-DD) of the most recent edit</t>
  </si>
  <si>
    <t xml:space="preserve">Statistics (live — calculated from the data sheets)</t>
  </si>
  <si>
    <t xml:space="preserve">Total Brands</t>
  </si>
  <si>
    <t xml:space="preserve">Auto-calculated — do not type over this formula.</t>
  </si>
  <si>
    <t xml:space="preserve">Total Models</t>
  </si>
  <si>
    <t xml:space="preserve">Active Brands</t>
  </si>
  <si>
    <t xml:space="preserve">Active Models</t>
  </si>
  <si>
    <t xml:space="preserve">Import Notes</t>
  </si>
  <si>
    <t xml:space="preserve">• Import order into Supabase/PostgreSQL: vehicle_categories → brands → models (parents before children).</t>
  </si>
  <si>
    <t xml:space="preserve">• Export each data sheet to CSV (UTF-8) before import, or use the Supabase table editor / SQL COPY.</t>
  </si>
  <si>
    <t xml:space="preserve">• IDs in this workbook are human-readable business keys (e.g. BRD-0001). Database primary keys are generated by Postgres; store the business key in the 'external_ref' column defined on the 5️⃣ Database Mapping sheet.</t>
  </si>
  <si>
    <t xml:space="preserve">• Validate against the 6️⃣ Import Rules sheet before every import: required fields, unique slugs, and normalization rules.</t>
  </si>
  <si>
    <t xml:space="preserve">• Never import rows with Status = 'draft' (one brand in this dataset: TIRSAM, pending catalog confirmation).</t>
  </si>
  <si>
    <t xml:space="preserve">1️⃣ Brands</t>
  </si>
  <si>
    <t xml:space="preserve">One row per heavy truck brand · sorted by Popularity Algeria, then Brand Name</t>
  </si>
  <si>
    <t xml:space="preserve">• One row = one brand. Never duplicate a Brand Name or Slug (see 6️⃣ Import Rules).</t>
  </si>
  <si>
    <t xml:space="preserve">• Brand ID format: BRD-#### (zero-padded, sequential, never reused). Slug: lowercase, hyphenated, ASCII only.</t>
  </si>
  <si>
    <t xml:space="preserve">• Popularity Algeria uses the dz_tier scale: 1 = very high demand · 2 = high · 3 = medium · 4 = low/niche. Ranked by installed fleet, historical fleets still needing parts, and local assembly presence.</t>
  </si>
  <si>
    <t xml:space="preserve">• Status: 'active' (importable) or 'draft' (excluded from import). Historic marques (Berliet, ZIL…) stay 'active' because their legacy fleets still generate parts demand.</t>
  </si>
  <si>
    <t xml:space="preserve">Column descriptions ↓</t>
  </si>
  <si>
    <t xml:space="preserve">Business key. Format BRD-#### . Unique, sequential, never reused.</t>
  </si>
  <si>
    <t xml:space="preserve">Official brand name, English/Latin spelling (e.g. Renault Trucks, Shacman).</t>
  </si>
  <si>
    <t xml:space="preserve">URL-safe identifier: lowercase, a–z 0–9 and hyphens only, unique.</t>
  </si>
  <si>
    <t xml:space="preserve">Country of origin (ISO English name, e.g. France, China).</t>
  </si>
  <si>
    <t xml:space="preserve">Owning group if any (e.g. Volvo Group, Traton Group). 'Historic' if defunct.</t>
  </si>
  <si>
    <t xml:space="preserve">Comma-separated aliases &amp; local spellings incl. Arabic/French variants.</t>
  </si>
  <si>
    <t xml:space="preserve">dz_tier 1–4. 1 = very high parts demand in Algeria … 4 = niche.</t>
  </si>
  <si>
    <t xml:space="preserve">'active' or 'draft'. Only 'active' rows are imported.</t>
  </si>
  <si>
    <t xml:space="preserve">Free text: local assembly, import history, fleet context, caveats.</t>
  </si>
  <si>
    <t xml:space="preserve">Brand ID</t>
  </si>
  <si>
    <t xml:space="preserve">Brand Name</t>
  </si>
  <si>
    <t xml:space="preserve">Slug</t>
  </si>
  <si>
    <t xml:space="preserve">Country</t>
  </si>
  <si>
    <t xml:space="preserve">Parent Group</t>
  </si>
  <si>
    <t xml:space="preserve">Alternative Names</t>
  </si>
  <si>
    <t xml:space="preserve">Popularity Algeria</t>
  </si>
  <si>
    <t xml:space="preserve">Status</t>
  </si>
  <si>
    <t xml:space="preserve">Notes</t>
  </si>
  <si>
    <t xml:space="preserve">BRD-0001</t>
  </si>
  <si>
    <t xml:space="preserve">Iveco</t>
  </si>
  <si>
    <t xml:space="preserve">iveco</t>
  </si>
  <si>
    <t xml:space="preserve">Italy</t>
  </si>
  <si>
    <t xml:space="preserve">Iveco Group</t>
  </si>
  <si>
    <t xml:space="preserve">إيفيكو, IVECO</t>
  </si>
  <si>
    <t xml:space="preserve">active</t>
  </si>
  <si>
    <t xml:space="preserve">Long-standing DZ distribution (IVAL network); local production of medium/heavy vehicles launched 2025. Large mixed fleet.</t>
  </si>
  <si>
    <t xml:space="preserve">BRD-0002</t>
  </si>
  <si>
    <t xml:space="preserve">Mercedes-Benz</t>
  </si>
  <si>
    <t xml:space="preserve">mercedes-benz</t>
  </si>
  <si>
    <t xml:space="preserve">Germany</t>
  </si>
  <si>
    <t xml:space="preserve">Daimler Truck</t>
  </si>
  <si>
    <t xml:space="preserve">مرسيدس, Mercedes</t>
  </si>
  <si>
    <t xml:space="preserve">Historic fleet plus local assembly of trucks at Rouïba (SAFAV-MB/SAPPL-MB era). Very high parts demand across generations.</t>
  </si>
  <si>
    <t xml:space="preserve">BRD-0003</t>
  </si>
  <si>
    <t xml:space="preserve">Renault Trucks</t>
  </si>
  <si>
    <t xml:space="preserve">renault-trucks</t>
  </si>
  <si>
    <t xml:space="preserve">France</t>
  </si>
  <si>
    <t xml:space="preserve">Volvo Group</t>
  </si>
  <si>
    <t xml:space="preserve">رونو تراكس, RVI, Renault Véhicules Industriels</t>
  </si>
  <si>
    <t xml:space="preserve">Dominant European marque in DZ haulage; SOPROVI assembly plant at Meftah (Blida) relaunching under Volvo Group.</t>
  </si>
  <si>
    <t xml:space="preserve">BRD-0004</t>
  </si>
  <si>
    <t xml:space="preserve">Shacman</t>
  </si>
  <si>
    <t xml:space="preserve">shacman</t>
  </si>
  <si>
    <t xml:space="preserve">China</t>
  </si>
  <si>
    <t xml:space="preserve">Shaanxi Automobile Group</t>
  </si>
  <si>
    <t xml:space="preserve">شاكمان, Shaanxi, SXQC</t>
  </si>
  <si>
    <t xml:space="preserve">Leading Chinese heavy brand in Algerian construction and quarry transport; very large recent fleet.</t>
  </si>
  <si>
    <t xml:space="preserve">BRD-0005</t>
  </si>
  <si>
    <t xml:space="preserve">SNVI</t>
  </si>
  <si>
    <t xml:space="preserve">snvi</t>
  </si>
  <si>
    <t xml:space="preserve">Algeria</t>
  </si>
  <si>
    <t xml:space="preserve">State-owned (ex-SONACOME)</t>
  </si>
  <si>
    <t xml:space="preserve">سونيفي, SONACOME</t>
  </si>
  <si>
    <t xml:space="preserve">National truck maker (Rouïba), heir to the Berliet Algérie plant. Backbone of public and private fleets; extreme parts demand on aging units.</t>
  </si>
  <si>
    <t xml:space="preserve">BRD-0006</t>
  </si>
  <si>
    <t xml:space="preserve">Volvo Trucks</t>
  </si>
  <si>
    <t xml:space="preserve">volvo-trucks</t>
  </si>
  <si>
    <t xml:space="preserve">Sweden</t>
  </si>
  <si>
    <t xml:space="preserve">فولفو</t>
  </si>
  <si>
    <t xml:space="preserve">Strong long-haul and construction presence since the N-series era; group pursuing local heavy-truck production.</t>
  </si>
  <si>
    <t xml:space="preserve">BRD-0007</t>
  </si>
  <si>
    <t xml:space="preserve">Berliet</t>
  </si>
  <si>
    <t xml:space="preserve">berliet</t>
  </si>
  <si>
    <t xml:space="preserve">Historic (absorbed by Renault V.I.)</t>
  </si>
  <si>
    <t xml:space="preserve">برلييه</t>
  </si>
  <si>
    <t xml:space="preserve">Historic marque that industrialized trucking in Algeria (Rouïba plant origin). Large legacy fleet still in service inland; sustained parts demand.</t>
  </si>
  <si>
    <t xml:space="preserve">BRD-0008</t>
  </si>
  <si>
    <t xml:space="preserve">FAW</t>
  </si>
  <si>
    <t xml:space="preserve">faw</t>
  </si>
  <si>
    <t xml:space="preserve">FAW Group</t>
  </si>
  <si>
    <t xml:space="preserve">فاو, FAW Jiefang</t>
  </si>
  <si>
    <t xml:space="preserve">Growing DZ footprint; Trucks FAW Algérie industrial project announced at Aïn Ouessara (Djelfa).</t>
  </si>
  <si>
    <t xml:space="preserve">BRD-0009</t>
  </si>
  <si>
    <t xml:space="preserve">Ford Trucks</t>
  </si>
  <si>
    <t xml:space="preserve">ford-trucks</t>
  </si>
  <si>
    <t xml:space="preserve">Turkey</t>
  </si>
  <si>
    <t xml:space="preserve">Ford Otosan</t>
  </si>
  <si>
    <t xml:space="preserve">فورد تراكس, Ford Otosan</t>
  </si>
  <si>
    <t xml:space="preserve">Turkish-built Ford heavy range; Cargo widely used in DZ distribution and tipper work, F-MAX in haulage.</t>
  </si>
  <si>
    <t xml:space="preserve">BRD-0010</t>
  </si>
  <si>
    <t xml:space="preserve">Hyundai</t>
  </si>
  <si>
    <t xml:space="preserve">hyundai</t>
  </si>
  <si>
    <t xml:space="preserve">South Korea</t>
  </si>
  <si>
    <t xml:space="preserve">Hyundai Motor Group</t>
  </si>
  <si>
    <t xml:space="preserve">هيونداي</t>
  </si>
  <si>
    <t xml:space="preserve">HD heavy range assembled/distributed in DZ (Global Motors Industries era); common in distribution and tipper segments.</t>
  </si>
  <si>
    <t xml:space="preserve">BRD-0011</t>
  </si>
  <si>
    <t xml:space="preserve">Isuzu</t>
  </si>
  <si>
    <t xml:space="preserve">isuzu</t>
  </si>
  <si>
    <t xml:space="preserve">Japan</t>
  </si>
  <si>
    <t xml:space="preserve">Isuzu Motors</t>
  </si>
  <si>
    <t xml:space="preserve">إيسوزو</t>
  </si>
  <si>
    <t xml:space="preserve">F- and heavy C/G-series widespread in DZ distribution and construction fleets.</t>
  </si>
  <si>
    <t xml:space="preserve">BRD-0012</t>
  </si>
  <si>
    <t xml:space="preserve">KamAZ</t>
  </si>
  <si>
    <t xml:space="preserve">kamaz</t>
  </si>
  <si>
    <t xml:space="preserve">Russia</t>
  </si>
  <si>
    <t xml:space="preserve">KAMAZ PTC</t>
  </si>
  <si>
    <t xml:space="preserve">كاماز</t>
  </si>
  <si>
    <t xml:space="preserve">Large Soviet-era and modern fleet, especially tippers and all-terrain units in the south; steady parts demand.</t>
  </si>
  <si>
    <t xml:space="preserve">BRD-0013</t>
  </si>
  <si>
    <t xml:space="preserve">MAN</t>
  </si>
  <si>
    <t xml:space="preserve">man</t>
  </si>
  <si>
    <t xml:space="preserve">Traton Group</t>
  </si>
  <si>
    <t xml:space="preserve">مان</t>
  </si>
  <si>
    <t xml:space="preserve">Established importer network; TG-range common in haulage and public works.</t>
  </si>
  <si>
    <t xml:space="preserve">BRD-0014</t>
  </si>
  <si>
    <t xml:space="preserve">Scania</t>
  </si>
  <si>
    <t xml:space="preserve">scania</t>
  </si>
  <si>
    <t xml:space="preserve">سكانيا</t>
  </si>
  <si>
    <t xml:space="preserve">Long-haul and heavy tipper presence; strong legacy 3-series fleet plus modern PGR range.</t>
  </si>
  <si>
    <t xml:space="preserve">BRD-0015</t>
  </si>
  <si>
    <t xml:space="preserve">Sinotruk</t>
  </si>
  <si>
    <t xml:space="preserve">sinotruk</t>
  </si>
  <si>
    <t xml:space="preserve">CNHTC</t>
  </si>
  <si>
    <t xml:space="preserve">سينوتراك, CNHTC, HOWO</t>
  </si>
  <si>
    <t xml:space="preserve">HOWO family very common in DZ construction and aggregate transport.</t>
  </si>
  <si>
    <t xml:space="preserve">BRD-0016</t>
  </si>
  <si>
    <t xml:space="preserve">Astra</t>
  </si>
  <si>
    <t xml:space="preserve">astra</t>
  </si>
  <si>
    <t xml:space="preserve">أسترا</t>
  </si>
  <si>
    <t xml:space="preserve">Heavy-duty quarry and oilfield trucks used by DZ public-works and energy contractors.</t>
  </si>
  <si>
    <t xml:space="preserve">BRD-0017</t>
  </si>
  <si>
    <t xml:space="preserve">DAF</t>
  </si>
  <si>
    <t xml:space="preserve">daf</t>
  </si>
  <si>
    <t xml:space="preserve">Netherlands</t>
  </si>
  <si>
    <t xml:space="preserve">PACCAR</t>
  </si>
  <si>
    <t xml:space="preserve">داف</t>
  </si>
  <si>
    <t xml:space="preserve">Present in long-haul fleets via imports; smaller installed base than the big European five.</t>
  </si>
  <si>
    <t xml:space="preserve">BRD-0018</t>
  </si>
  <si>
    <t xml:space="preserve">Dongfeng</t>
  </si>
  <si>
    <t xml:space="preserve">dongfeng</t>
  </si>
  <si>
    <t xml:space="preserve">Dongfeng Motor</t>
  </si>
  <si>
    <t xml:space="preserve">دونغفينغ, DFM</t>
  </si>
  <si>
    <t xml:space="preserve">Chinese heavy range present in distribution and tipper segments.</t>
  </si>
  <si>
    <t xml:space="preserve">BRD-0019</t>
  </si>
  <si>
    <t xml:space="preserve">Foton</t>
  </si>
  <si>
    <t xml:space="preserve">foton</t>
  </si>
  <si>
    <t xml:space="preserve">BAIC Group</t>
  </si>
  <si>
    <t xml:space="preserve">فوتون, Foton Auman</t>
  </si>
  <si>
    <t xml:space="preserve">Auman heavy family imported for haulage and construction.</t>
  </si>
  <si>
    <t xml:space="preserve">BRD-0020</t>
  </si>
  <si>
    <t xml:space="preserve">Hino</t>
  </si>
  <si>
    <t xml:space="preserve">hino</t>
  </si>
  <si>
    <t xml:space="preserve">Toyota Motor</t>
  </si>
  <si>
    <t xml:space="preserve">هينو</t>
  </si>
  <si>
    <t xml:space="preserve">Japanese medium/heavy range with an established DZ distribution history.</t>
  </si>
  <si>
    <t xml:space="preserve">BRD-0021</t>
  </si>
  <si>
    <t xml:space="preserve">JAC</t>
  </si>
  <si>
    <t xml:space="preserve">jac</t>
  </si>
  <si>
    <t xml:space="preserve">JAC Group</t>
  </si>
  <si>
    <t xml:space="preserve">جاك</t>
  </si>
  <si>
    <t xml:space="preserve">Assembled in Algeria in the light/medium segment (Emin Auto); Gallop heavy tractors imported.</t>
  </si>
  <si>
    <t xml:space="preserve">BRD-0022</t>
  </si>
  <si>
    <t xml:space="preserve">Tata Daewoo</t>
  </si>
  <si>
    <t xml:space="preserve">tata-daewoo</t>
  </si>
  <si>
    <t xml:space="preserve">Tata Motors</t>
  </si>
  <si>
    <t xml:space="preserve">دايو, Daewoo Trucks</t>
  </si>
  <si>
    <t xml:space="preserve">Daewoo Trucks returned to DZ via Peng Pu Algérie with an assembly project at Chlef; notable legacy fleet.</t>
  </si>
  <si>
    <t xml:space="preserve">BRD-0023</t>
  </si>
  <si>
    <t xml:space="preserve">UD Trucks</t>
  </si>
  <si>
    <t xml:space="preserve">ud-trucks</t>
  </si>
  <si>
    <t xml:space="preserve">نيسان ديزل, Nissan Diesel</t>
  </si>
  <si>
    <t xml:space="preserve">Formerly Nissan Diesel, historically distributed in DZ; Quester targets African markets.</t>
  </si>
  <si>
    <t xml:space="preserve">BRD-0024</t>
  </si>
  <si>
    <t xml:space="preserve">TIRSAM</t>
  </si>
  <si>
    <t xml:space="preserve">tirsam</t>
  </si>
  <si>
    <t xml:space="preserve">Tirsam Group (Batna)</t>
  </si>
  <si>
    <t xml:space="preserve">تيرسام</t>
  </si>
  <si>
    <t xml:space="preserve">draft</t>
  </si>
  <si>
    <t xml:space="preserve">New Algerian manufacturer (Kechida, Batna) that launched its own truck marque in 2025; heavy-segment model range still being established — activate once the catalog is confirmed.</t>
  </si>
  <si>
    <t xml:space="preserve">BRD-0025</t>
  </si>
  <si>
    <t xml:space="preserve">International</t>
  </si>
  <si>
    <t xml:space="preserve">international</t>
  </si>
  <si>
    <t xml:space="preserve">United States</t>
  </si>
  <si>
    <t xml:space="preserve">Traton Group (Navistar)</t>
  </si>
  <si>
    <t xml:space="preserve">إنترناشيونال, Navistar</t>
  </si>
  <si>
    <t xml:space="preserve">Niche presence via export-market conventional/cabover units and specialized fleets.</t>
  </si>
  <si>
    <t xml:space="preserve">BRD-0026</t>
  </si>
  <si>
    <t xml:space="preserve">Mack</t>
  </si>
  <si>
    <t xml:space="preserve">mack</t>
  </si>
  <si>
    <t xml:space="preserve">ماك</t>
  </si>
  <si>
    <t xml:space="preserve">Small legacy footprint in construction and oilfield fleets.</t>
  </si>
  <si>
    <t xml:space="preserve">BRD-0027</t>
  </si>
  <si>
    <t xml:space="preserve">Tatra</t>
  </si>
  <si>
    <t xml:space="preserve">tatra</t>
  </si>
  <si>
    <t xml:space="preserve">Czech Republic</t>
  </si>
  <si>
    <t xml:space="preserve">Tatra Trucks</t>
  </si>
  <si>
    <t xml:space="preserve">تاترا</t>
  </si>
  <si>
    <t xml:space="preserve">All-terrain 815 units in specialized public-works and desert operations.</t>
  </si>
  <si>
    <t xml:space="preserve">BRD-0028</t>
  </si>
  <si>
    <t xml:space="preserve">Ural</t>
  </si>
  <si>
    <t xml:space="preserve">ural</t>
  </si>
  <si>
    <t xml:space="preserve">Ural Automotive Plant</t>
  </si>
  <si>
    <t xml:space="preserve">أورال</t>
  </si>
  <si>
    <t xml:space="preserve">Soviet-era all-terrain trucks surviving in specialized and southern fleets.</t>
  </si>
  <si>
    <t xml:space="preserve">BRD-0029</t>
  </si>
  <si>
    <t xml:space="preserve">ZIL</t>
  </si>
  <si>
    <t xml:space="preserve">zil</t>
  </si>
  <si>
    <t xml:space="preserve">Historic (defunct, ex-USSR)</t>
  </si>
  <si>
    <t xml:space="preserve">زيل</t>
  </si>
  <si>
    <t xml:space="preserve">Defunct Soviet marque; residual legacy units keep a small parts market alive.</t>
  </si>
  <si>
    <t xml:space="preserve">2️⃣ Models</t>
  </si>
  <si>
    <t xml:space="preserve">One row per model · every Brand ID must exist on the 1️⃣ Brands sheet</t>
  </si>
  <si>
    <t xml:space="preserve">• One row = one model. Brand ID is a foreign key: it must match an existing row on 1️⃣ Brands exactly.</t>
  </si>
  <si>
    <t xml:space="preserve">• Model ID format: MDL-#### . Slug format: &lt;brand-slug&gt;-&lt;model-slug&gt; to guarantee global uniqueness (e.g. renault-trucks-kerax).</t>
  </si>
  <si>
    <t xml:space="preserve">• Vehicle Type: heavy_truck for every row of this dataset.</t>
  </si>
  <si>
    <t xml:space="preserve">• Brand Name is redundant on purpose (human readability). It must always equal the Brand Name of the referenced Brand ID.</t>
  </si>
  <si>
    <t xml:space="preserve">• Do NOT add generations, engines, trims, or years — out of scope for V1 structure.</t>
  </si>
  <si>
    <t xml:space="preserve">Business key. Format MDL-#### . Unique, sequential, never reused.</t>
  </si>
  <si>
    <t xml:space="preserve">Foreign key → 1️⃣ Brands. Must match an existing Brand ID.</t>
  </si>
  <si>
    <t xml:space="preserve">Denormalized copy of the brand's name — must match Brands sheet.</t>
  </si>
  <si>
    <t xml:space="preserve">Official model name without trim/engine (e.g. Kerax, HOWO, K120).</t>
  </si>
  <si>
    <t xml:space="preserve">Globally unique: &lt;brand-slug&gt;-&lt;model-slug&gt;, lowercase, hyphens.</t>
  </si>
  <si>
    <t xml:space="preserve">Category code: heavy_truck for this dataset.</t>
  </si>
  <si>
    <t xml:space="preserve">Comma-separated aliases, local nicknames, regional names.</t>
  </si>
  <si>
    <t xml:space="preserve">dz_tier 1–4 for this model in the Algerian market.</t>
  </si>
  <si>
    <t xml:space="preserve">Free text: fleet notes, assembly, import waves, caveats.</t>
  </si>
  <si>
    <t xml:space="preserve">Model ID</t>
  </si>
  <si>
    <t xml:space="preserve">Model Name</t>
  </si>
  <si>
    <t xml:space="preserve">Vehicle Type</t>
  </si>
  <si>
    <t xml:space="preserve">MDL-0001</t>
  </si>
  <si>
    <t xml:space="preserve">Trakker</t>
  </si>
  <si>
    <t xml:space="preserve">iveco-trakker</t>
  </si>
  <si>
    <t xml:space="preserve">heavy_truck</t>
  </si>
  <si>
    <t xml:space="preserve">Construction/off-road range; very common on DZ worksites.</t>
  </si>
  <si>
    <t xml:space="preserve">MDL-0002</t>
  </si>
  <si>
    <t xml:space="preserve">Stralis</t>
  </si>
  <si>
    <t xml:space="preserve">iveco-stralis</t>
  </si>
  <si>
    <t xml:space="preserve">Long-haul workhorse of the 2000s–2010s import waves.</t>
  </si>
  <si>
    <t xml:space="preserve">MDL-0003</t>
  </si>
  <si>
    <t xml:space="preserve">Eurocargo</t>
  </si>
  <si>
    <t xml:space="preserve">iveco-eurocargo</t>
  </si>
  <si>
    <t xml:space="preserve">Medium-heavy distribution staple; huge urban fleet.</t>
  </si>
  <si>
    <t xml:space="preserve">MDL-0004</t>
  </si>
  <si>
    <t xml:space="preserve">S-Way</t>
  </si>
  <si>
    <t xml:space="preserve">iveco-s-way</t>
  </si>
  <si>
    <t xml:space="preserve">Current long-haul flagship replacing Stralis.</t>
  </si>
  <si>
    <t xml:space="preserve">MDL-0005</t>
  </si>
  <si>
    <t xml:space="preserve">T-Way</t>
  </si>
  <si>
    <t xml:space="preserve">iveco-t-way</t>
  </si>
  <si>
    <t xml:space="preserve">Current heavy off-road range replacing Trakker.</t>
  </si>
  <si>
    <t xml:space="preserve">MDL-0006</t>
  </si>
  <si>
    <t xml:space="preserve">Actros</t>
  </si>
  <si>
    <t xml:space="preserve">mercedes-benz-actros</t>
  </si>
  <si>
    <t xml:space="preserve">أكتروس</t>
  </si>
  <si>
    <t xml:space="preserve">Long-haul flagship; assembled at Rouïba during the SAFAV-MB program.</t>
  </si>
  <si>
    <t xml:space="preserve">MDL-0007</t>
  </si>
  <si>
    <t xml:space="preserve">Axor</t>
  </si>
  <si>
    <t xml:space="preserve">mercedes-benz-axor</t>
  </si>
  <si>
    <t xml:space="preserve">Haulage/tipper workhorse widely present in DZ fleets.</t>
  </si>
  <si>
    <t xml:space="preserve">MDL-0008</t>
  </si>
  <si>
    <t xml:space="preserve">Atego</t>
  </si>
  <si>
    <t xml:space="preserve">mercedes-benz-atego</t>
  </si>
  <si>
    <t xml:space="preserve">Medium-heavy distribution truck with a very large installed base.</t>
  </si>
  <si>
    <t xml:space="preserve">MDL-0009</t>
  </si>
  <si>
    <t xml:space="preserve">Arocs</t>
  </si>
  <si>
    <t xml:space="preserve">mercedes-benz-arocs</t>
  </si>
  <si>
    <t xml:space="preserve">Construction range; growing recent fleet.</t>
  </si>
  <si>
    <t xml:space="preserve">MDL-0010</t>
  </si>
  <si>
    <t xml:space="preserve">SK</t>
  </si>
  <si>
    <t xml:space="preserve">mercedes-benz-sk</t>
  </si>
  <si>
    <t xml:space="preserve">NG, 26xx series</t>
  </si>
  <si>
    <t xml:space="preserve">Legacy 1980s–90s heavy series (e.g. 2628-type units) still working inland.</t>
  </si>
  <si>
    <t xml:space="preserve">MDL-0011</t>
  </si>
  <si>
    <t xml:space="preserve">Zetros</t>
  </si>
  <si>
    <t xml:space="preserve">mercedes-benz-zetros</t>
  </si>
  <si>
    <t xml:space="preserve">All-terrain range used in energy and desert logistics.</t>
  </si>
  <si>
    <t xml:space="preserve">MDL-0012</t>
  </si>
  <si>
    <t xml:space="preserve">Kerax</t>
  </si>
  <si>
    <t xml:space="preserve">renault-trucks-kerax</t>
  </si>
  <si>
    <t xml:space="preserve">كيراكس</t>
  </si>
  <si>
    <t xml:space="preserve">Construction icon of the DZ market; massive tipper/mixer fleet.</t>
  </si>
  <si>
    <t xml:space="preserve">MDL-0013</t>
  </si>
  <si>
    <t xml:space="preserve">Premium</t>
  </si>
  <si>
    <t xml:space="preserve">renault-trucks-premium</t>
  </si>
  <si>
    <t xml:space="preserve">Haulage and distribution mainstay of the 2000s import waves.</t>
  </si>
  <si>
    <t xml:space="preserve">MDL-0014</t>
  </si>
  <si>
    <t xml:space="preserve">Midlum</t>
  </si>
  <si>
    <t xml:space="preserve">renault-trucks-midlum</t>
  </si>
  <si>
    <t xml:space="preserve">Medium-heavy distribution truck; very large urban fleet.</t>
  </si>
  <si>
    <t xml:space="preserve">MDL-0015</t>
  </si>
  <si>
    <t xml:space="preserve">Magnum</t>
  </si>
  <si>
    <t xml:space="preserve">renault-trucks-magnum</t>
  </si>
  <si>
    <t xml:space="preserve">Long-haul flagship of the RVI era; loyal legacy fleet.</t>
  </si>
  <si>
    <t xml:space="preserve">MDL-0016</t>
  </si>
  <si>
    <t xml:space="preserve">G</t>
  </si>
  <si>
    <t xml:space="preserve">renault-trucks-g</t>
  </si>
  <si>
    <t xml:space="preserve">G290, Gamme G</t>
  </si>
  <si>
    <t xml:space="preserve">1980s–90s G-range (G230/G290) still present in regional haulage.</t>
  </si>
  <si>
    <t xml:space="preserve">MDL-0017</t>
  </si>
  <si>
    <t xml:space="preserve">T</t>
  </si>
  <si>
    <t xml:space="preserve">renault-trucks-t</t>
  </si>
  <si>
    <t xml:space="preserve">Current long-haul range.</t>
  </si>
  <si>
    <t xml:space="preserve">MDL-0018</t>
  </si>
  <si>
    <t xml:space="preserve">C</t>
  </si>
  <si>
    <t xml:space="preserve">renault-trucks-c</t>
  </si>
  <si>
    <t xml:space="preserve">Current construction road range.</t>
  </si>
  <si>
    <t xml:space="preserve">MDL-0019</t>
  </si>
  <si>
    <t xml:space="preserve">K</t>
  </si>
  <si>
    <t xml:space="preserve">renault-trucks-k</t>
  </si>
  <si>
    <t xml:space="preserve">Current heavy off-road range (Kerax successor).</t>
  </si>
  <si>
    <t xml:space="preserve">MDL-0020</t>
  </si>
  <si>
    <t xml:space="preserve">D</t>
  </si>
  <si>
    <t xml:space="preserve">renault-trucks-d</t>
  </si>
  <si>
    <t xml:space="preserve">Current distribution range (Midlum successor).</t>
  </si>
  <si>
    <t xml:space="preserve">MDL-0021</t>
  </si>
  <si>
    <t xml:space="preserve">F3000</t>
  </si>
  <si>
    <t xml:space="preserve">shacman-f3000</t>
  </si>
  <si>
    <t xml:space="preserve">Best-known Shacman tipper/tractor family on DZ worksites.</t>
  </si>
  <si>
    <t xml:space="preserve">MDL-0022</t>
  </si>
  <si>
    <t xml:space="preserve">X3000</t>
  </si>
  <si>
    <t xml:space="preserve">shacman-x3000</t>
  </si>
  <si>
    <t xml:space="preserve">Modern flagship tractor and tipper range.</t>
  </si>
  <si>
    <t xml:space="preserve">MDL-0023</t>
  </si>
  <si>
    <t xml:space="preserve">F2000</t>
  </si>
  <si>
    <t xml:space="preserve">shacman-f2000</t>
  </si>
  <si>
    <t xml:space="preserve">Earlier generation still numerous in aggregate transport.</t>
  </si>
  <si>
    <t xml:space="preserve">MDL-0024</t>
  </si>
  <si>
    <t xml:space="preserve">H3000</t>
  </si>
  <si>
    <t xml:space="preserve">shacman-h3000</t>
  </si>
  <si>
    <t xml:space="preserve">Road-oriented haulage range.</t>
  </si>
  <si>
    <t xml:space="preserve">MDL-0025</t>
  </si>
  <si>
    <t xml:space="preserve">K66</t>
  </si>
  <si>
    <t xml:space="preserve">snvi-k66</t>
  </si>
  <si>
    <t xml:space="preserve">Berliet-derived legacy series; decades of service, relentless parts demand.</t>
  </si>
  <si>
    <t xml:space="preserve">MDL-0026</t>
  </si>
  <si>
    <t xml:space="preserve">K120</t>
  </si>
  <si>
    <t xml:space="preserve">snvi-k120</t>
  </si>
  <si>
    <t xml:space="preserve">Core national tipper/carrier series.</t>
  </si>
  <si>
    <t xml:space="preserve">MDL-0027</t>
  </si>
  <si>
    <t xml:space="preserve">M120</t>
  </si>
  <si>
    <t xml:space="preserve">snvi-m120</t>
  </si>
  <si>
    <t xml:space="preserve">Road-transport series widespread in public and private fleets.</t>
  </si>
  <si>
    <t xml:space="preserve">MDL-0028</t>
  </si>
  <si>
    <t xml:space="preserve">C260</t>
  </si>
  <si>
    <t xml:space="preserve">snvi-c260</t>
  </si>
  <si>
    <t xml:space="preserve">Heavy carrier series; staple of national haulage.</t>
  </si>
  <si>
    <t xml:space="preserve">MDL-0029</t>
  </si>
  <si>
    <t xml:space="preserve">M230</t>
  </si>
  <si>
    <t xml:space="preserve">snvi-m230</t>
  </si>
  <si>
    <t xml:space="preserve">Heavier road series complementing the M120.</t>
  </si>
  <si>
    <t xml:space="preserve">MDL-0030</t>
  </si>
  <si>
    <t xml:space="preserve">B260</t>
  </si>
  <si>
    <t xml:space="preserve">snvi-b260</t>
  </si>
  <si>
    <t xml:space="preserve">Tractor-unit series for semi-trailer haulage.</t>
  </si>
  <si>
    <t xml:space="preserve">MDL-0031</t>
  </si>
  <si>
    <t xml:space="preserve">FH</t>
  </si>
  <si>
    <t xml:space="preserve">volvo-trucks-fh</t>
  </si>
  <si>
    <t xml:space="preserve">Long-haul flagship; strong presence in modern DZ fleets.</t>
  </si>
  <si>
    <t xml:space="preserve">MDL-0032</t>
  </si>
  <si>
    <t xml:space="preserve">FM</t>
  </si>
  <si>
    <t xml:space="preserve">volvo-trucks-fm</t>
  </si>
  <si>
    <t xml:space="preserve">Versatile haulage/distribution range.</t>
  </si>
  <si>
    <t xml:space="preserve">MDL-0033</t>
  </si>
  <si>
    <t xml:space="preserve">FMX</t>
  </si>
  <si>
    <t xml:space="preserve">volvo-trucks-fmx</t>
  </si>
  <si>
    <t xml:space="preserve">Construction range common on large projects.</t>
  </si>
  <si>
    <t xml:space="preserve">MDL-0034</t>
  </si>
  <si>
    <t xml:space="preserve">N10</t>
  </si>
  <si>
    <t xml:space="preserve">volvo-trucks-n10</t>
  </si>
  <si>
    <t xml:space="preserve">1970s–80s bonneted icon of Algerian trucking; legacy units and parts demand persist.</t>
  </si>
  <si>
    <t xml:space="preserve">MDL-0035</t>
  </si>
  <si>
    <t xml:space="preserve">N12</t>
  </si>
  <si>
    <t xml:space="preserve">volvo-trucks-n12</t>
  </si>
  <si>
    <t xml:space="preserve">Heavier sibling of the N10 from the same era.</t>
  </si>
  <si>
    <t xml:space="preserve">MDL-0036</t>
  </si>
  <si>
    <t xml:space="preserve">GLR</t>
  </si>
  <si>
    <t xml:space="preserve">berliet-glr</t>
  </si>
  <si>
    <t xml:space="preserve">The definitive Maghreb classic; countless units served for decades and survivors still work inland.</t>
  </si>
  <si>
    <t xml:space="preserve">MDL-0037</t>
  </si>
  <si>
    <t xml:space="preserve">GBH 280</t>
  </si>
  <si>
    <t xml:space="preserve">berliet-gbh-280</t>
  </si>
  <si>
    <t xml:space="preserve">GBH</t>
  </si>
  <si>
    <t xml:space="preserve">6x4 heavy carrier/tipper icon of the 1970s–80s.</t>
  </si>
  <si>
    <t xml:space="preserve">MDL-0038</t>
  </si>
  <si>
    <t xml:space="preserve">GAK</t>
  </si>
  <si>
    <t xml:space="preserve">berliet-gak</t>
  </si>
  <si>
    <t xml:space="preserve">Medium-heavy legacy series.</t>
  </si>
  <si>
    <t xml:space="preserve">MDL-0039</t>
  </si>
  <si>
    <t xml:space="preserve">TLM</t>
  </si>
  <si>
    <t xml:space="preserve">berliet-tlm</t>
  </si>
  <si>
    <t xml:space="preserve">Heavy legacy series from the pre-SNVI era.</t>
  </si>
  <si>
    <t xml:space="preserve">MDL-0040</t>
  </si>
  <si>
    <t xml:space="preserve">J5</t>
  </si>
  <si>
    <t xml:space="preserve">faw-j5</t>
  </si>
  <si>
    <t xml:space="preserve">CA3256-type</t>
  </si>
  <si>
    <t xml:space="preserve">Widespread tipper/tractor generation in DZ construction.</t>
  </si>
  <si>
    <t xml:space="preserve">MDL-0041</t>
  </si>
  <si>
    <t xml:space="preserve">J6</t>
  </si>
  <si>
    <t xml:space="preserve">faw-j6</t>
  </si>
  <si>
    <t xml:space="preserve">J6P</t>
  </si>
  <si>
    <t xml:space="preserve">Current mainstream heavy family.</t>
  </si>
  <si>
    <t xml:space="preserve">MDL-0042</t>
  </si>
  <si>
    <t xml:space="preserve">JH6</t>
  </si>
  <si>
    <t xml:space="preserve">faw-jh6</t>
  </si>
  <si>
    <t xml:space="preserve">Premium long-haul range.</t>
  </si>
  <si>
    <t xml:space="preserve">MDL-0043</t>
  </si>
  <si>
    <t xml:space="preserve">Cargo</t>
  </si>
  <si>
    <t xml:space="preserve">ford-trucks-cargo</t>
  </si>
  <si>
    <t xml:space="preserve">فورد كارغو</t>
  </si>
  <si>
    <t xml:space="preserve">Tipper and haulage staple across DZ; long import history.</t>
  </si>
  <si>
    <t xml:space="preserve">MDL-0044</t>
  </si>
  <si>
    <t xml:space="preserve">F-MAX</t>
  </si>
  <si>
    <t xml:space="preserve">ford-trucks-f-max</t>
  </si>
  <si>
    <t xml:space="preserve">F-Max</t>
  </si>
  <si>
    <t xml:space="preserve">Current long-haul tractor gaining share in modern fleets.</t>
  </si>
  <si>
    <t xml:space="preserve">MDL-0045</t>
  </si>
  <si>
    <t xml:space="preserve">HD270</t>
  </si>
  <si>
    <t xml:space="preserve">hyundai-hd270</t>
  </si>
  <si>
    <t xml:space="preserve">6x4 tipper widely used in construction; local assembly history.</t>
  </si>
  <si>
    <t xml:space="preserve">MDL-0046</t>
  </si>
  <si>
    <t xml:space="preserve">HD320</t>
  </si>
  <si>
    <t xml:space="preserve">hyundai-hd320</t>
  </si>
  <si>
    <t xml:space="preserve">8x4 heavy carrier/tipper.</t>
  </si>
  <si>
    <t xml:space="preserve">MDL-0047</t>
  </si>
  <si>
    <t xml:space="preserve">Xcient</t>
  </si>
  <si>
    <t xml:space="preserve">hyundai-xcient</t>
  </si>
  <si>
    <t xml:space="preserve">Modern heavy tractor range.</t>
  </si>
  <si>
    <t xml:space="preserve">MDL-0048</t>
  </si>
  <si>
    <t xml:space="preserve">FVR</t>
  </si>
  <si>
    <t xml:space="preserve">isuzu-fvr</t>
  </si>
  <si>
    <t xml:space="preserve">Medium-heavy carrier common in distribution fleets.</t>
  </si>
  <si>
    <t xml:space="preserve">MDL-0049</t>
  </si>
  <si>
    <t xml:space="preserve">FVZ</t>
  </si>
  <si>
    <t xml:space="preserve">isuzu-fvz</t>
  </si>
  <si>
    <t xml:space="preserve">6x4 tipper/carrier used in public works.</t>
  </si>
  <si>
    <t xml:space="preserve">MDL-0050</t>
  </si>
  <si>
    <t xml:space="preserve">GXZ</t>
  </si>
  <si>
    <t xml:space="preserve">isuzu-gxz</t>
  </si>
  <si>
    <t xml:space="preserve">Heavy 6x4 tractor/carrier range.</t>
  </si>
  <si>
    <t xml:space="preserve">MDL-0051</t>
  </si>
  <si>
    <t xml:space="preserve">5320</t>
  </si>
  <si>
    <t xml:space="preserve">kamaz-5320</t>
  </si>
  <si>
    <t xml:space="preserve">Classic Soviet-era carrier; long DZ service history.</t>
  </si>
  <si>
    <t xml:space="preserve">MDL-0052</t>
  </si>
  <si>
    <t xml:space="preserve">65115</t>
  </si>
  <si>
    <t xml:space="preserve">kamaz-65115</t>
  </si>
  <si>
    <t xml:space="preserve">Modern 6x4 tipper present in public-works fleets.</t>
  </si>
  <si>
    <t xml:space="preserve">MDL-0053</t>
  </si>
  <si>
    <t xml:space="preserve">6520</t>
  </si>
  <si>
    <t xml:space="preserve">kamaz-6520</t>
  </si>
  <si>
    <t xml:space="preserve">Heavy tipper range.</t>
  </si>
  <si>
    <t xml:space="preserve">MDL-0054</t>
  </si>
  <si>
    <t xml:space="preserve">43118</t>
  </si>
  <si>
    <t xml:space="preserve">kamaz-43118</t>
  </si>
  <si>
    <t xml:space="preserve">6x6 all-terrain unit used in southern operations.</t>
  </si>
  <si>
    <t xml:space="preserve">MDL-0055</t>
  </si>
  <si>
    <t xml:space="preserve">TGS</t>
  </si>
  <si>
    <t xml:space="preserve">man-tgs</t>
  </si>
  <si>
    <t xml:space="preserve">Construction/haulage range common on DZ sites.</t>
  </si>
  <si>
    <t xml:space="preserve">MDL-0056</t>
  </si>
  <si>
    <t xml:space="preserve">TGX</t>
  </si>
  <si>
    <t xml:space="preserve">man-tgx</t>
  </si>
  <si>
    <t xml:space="preserve">Long-haul flagship.</t>
  </si>
  <si>
    <t xml:space="preserve">MDL-0057</t>
  </si>
  <si>
    <t xml:space="preserve">TGA</t>
  </si>
  <si>
    <t xml:space="preserve">man-tga</t>
  </si>
  <si>
    <t xml:space="preserve">2000s generation still numerous in fleets.</t>
  </si>
  <si>
    <t xml:space="preserve">MDL-0058</t>
  </si>
  <si>
    <t xml:space="preserve">TGM</t>
  </si>
  <si>
    <t xml:space="preserve">man-tgm</t>
  </si>
  <si>
    <t xml:space="preserve">Medium-heavy distribution range.</t>
  </si>
  <si>
    <t xml:space="preserve">MDL-0059</t>
  </si>
  <si>
    <t xml:space="preserve">man-f2000</t>
  </si>
  <si>
    <t xml:space="preserve">1990s legacy heavy series still encountered.</t>
  </si>
  <si>
    <t xml:space="preserve">MDL-0060</t>
  </si>
  <si>
    <t xml:space="preserve">R-Series</t>
  </si>
  <si>
    <t xml:space="preserve">scania-r-series</t>
  </si>
  <si>
    <t xml:space="preserve">Série R</t>
  </si>
  <si>
    <t xml:space="preserve">Long-haul mainstay of modern imports.</t>
  </si>
  <si>
    <t xml:space="preserve">MDL-0061</t>
  </si>
  <si>
    <t xml:space="preserve">G-Series</t>
  </si>
  <si>
    <t xml:space="preserve">scania-g-series</t>
  </si>
  <si>
    <t xml:space="preserve">Série G</t>
  </si>
  <si>
    <t xml:space="preserve">Versatile haulage/construction range.</t>
  </si>
  <si>
    <t xml:space="preserve">MDL-0062</t>
  </si>
  <si>
    <t xml:space="preserve">P-Series</t>
  </si>
  <si>
    <t xml:space="preserve">scania-p-series</t>
  </si>
  <si>
    <t xml:space="preserve">Série P</t>
  </si>
  <si>
    <t xml:space="preserve">Distribution and tipper range.</t>
  </si>
  <si>
    <t xml:space="preserve">MDL-0063</t>
  </si>
  <si>
    <t xml:space="preserve">HOWO</t>
  </si>
  <si>
    <t xml:space="preserve">sinotruk-howo</t>
  </si>
  <si>
    <t xml:space="preserve">هوو</t>
  </si>
  <si>
    <t xml:space="preserve">Ubiquitous tipper/tractor family in DZ construction.</t>
  </si>
  <si>
    <t xml:space="preserve">MDL-0064</t>
  </si>
  <si>
    <t xml:space="preserve">HOWO A7</t>
  </si>
  <si>
    <t xml:space="preserve">sinotruk-howo-a7</t>
  </si>
  <si>
    <t xml:space="preserve">A7</t>
  </si>
  <si>
    <t xml:space="preserve">Upgraded HOWO generation for haulage.</t>
  </si>
  <si>
    <t xml:space="preserve">MDL-0065</t>
  </si>
  <si>
    <t xml:space="preserve">HD8</t>
  </si>
  <si>
    <t xml:space="preserve">astra-hd8</t>
  </si>
  <si>
    <t xml:space="preserve">Heavy-duty quarry/oilfield carrier.</t>
  </si>
  <si>
    <t xml:space="preserve">MDL-0066</t>
  </si>
  <si>
    <t xml:space="preserve">HD9</t>
  </si>
  <si>
    <t xml:space="preserve">astra-hd9</t>
  </si>
  <si>
    <t xml:space="preserve">Current heavy-duty off-road range.</t>
  </si>
  <si>
    <t xml:space="preserve">MDL-0067</t>
  </si>
  <si>
    <t xml:space="preserve">XF</t>
  </si>
  <si>
    <t xml:space="preserve">daf-xf</t>
  </si>
  <si>
    <t xml:space="preserve">Long-haul flagship present via imports.</t>
  </si>
  <si>
    <t xml:space="preserve">MDL-0068</t>
  </si>
  <si>
    <t xml:space="preserve">CF</t>
  </si>
  <si>
    <t xml:space="preserve">daf-cf</t>
  </si>
  <si>
    <t xml:space="preserve">MDL-0069</t>
  </si>
  <si>
    <t xml:space="preserve">KC</t>
  </si>
  <si>
    <t xml:space="preserve">dongfeng-kc</t>
  </si>
  <si>
    <t xml:space="preserve">Heavy tipper family used in construction.</t>
  </si>
  <si>
    <t xml:space="preserve">MDL-0070</t>
  </si>
  <si>
    <t xml:space="preserve">KX</t>
  </si>
  <si>
    <t xml:space="preserve">dongfeng-kx</t>
  </si>
  <si>
    <t xml:space="preserve">Flagship long-haul tractor range.</t>
  </si>
  <si>
    <t xml:space="preserve">MDL-0071</t>
  </si>
  <si>
    <t xml:space="preserve">Auman ETX</t>
  </si>
  <si>
    <t xml:space="preserve">foton-auman-etx</t>
  </si>
  <si>
    <t xml:space="preserve">Heavy tractor/carrier family imported for haulage.</t>
  </si>
  <si>
    <t xml:space="preserve">MDL-0072</t>
  </si>
  <si>
    <t xml:space="preserve">Auman GTL</t>
  </si>
  <si>
    <t xml:space="preserve">foton-auman-gtl</t>
  </si>
  <si>
    <t xml:space="preserve">Premium Auman generation.</t>
  </si>
  <si>
    <t xml:space="preserve">MDL-0073</t>
  </si>
  <si>
    <t xml:space="preserve">500 Series</t>
  </si>
  <si>
    <t xml:space="preserve">hino-500-series</t>
  </si>
  <si>
    <t xml:space="preserve">Hino 500</t>
  </si>
  <si>
    <t xml:space="preserve">Medium-heavy range with established DZ distribution.</t>
  </si>
  <si>
    <t xml:space="preserve">MDL-0074</t>
  </si>
  <si>
    <t xml:space="preserve">700 Series</t>
  </si>
  <si>
    <t xml:space="preserve">hino-700-series</t>
  </si>
  <si>
    <t xml:space="preserve">Hino 700</t>
  </si>
  <si>
    <t xml:space="preserve">Heavy tractor/carrier flagship.</t>
  </si>
  <si>
    <t xml:space="preserve">MDL-0075</t>
  </si>
  <si>
    <t xml:space="preserve">Gallop</t>
  </si>
  <si>
    <t xml:space="preserve">jac-gallop</t>
  </si>
  <si>
    <t xml:space="preserve">K-Series</t>
  </si>
  <si>
    <t xml:space="preserve">Heavy tractor family imported alongside JAC's local light-truck assembly.</t>
  </si>
  <si>
    <t xml:space="preserve">MDL-0076</t>
  </si>
  <si>
    <t xml:space="preserve">Novus</t>
  </si>
  <si>
    <t xml:space="preserve">tata-daewoo-novus</t>
  </si>
  <si>
    <t xml:space="preserve">Daewoo Novus</t>
  </si>
  <si>
    <t xml:space="preserve">Core heavy carrier/tipper of the Daewoo Trucks legacy fleet.</t>
  </si>
  <si>
    <t xml:space="preserve">MDL-0077</t>
  </si>
  <si>
    <t xml:space="preserve">Prima</t>
  </si>
  <si>
    <t xml:space="preserve">tata-daewoo-prima</t>
  </si>
  <si>
    <t xml:space="preserve">Daewoo Prima</t>
  </si>
  <si>
    <t xml:space="preserve">Modern flagship accompanying the brand's DZ return.</t>
  </si>
  <si>
    <t xml:space="preserve">MDL-0078</t>
  </si>
  <si>
    <t xml:space="preserve">Quester</t>
  </si>
  <si>
    <t xml:space="preserve">ud-trucks-quester</t>
  </si>
  <si>
    <t xml:space="preserve">Emerging-markets heavy range distributed in Africa.</t>
  </si>
  <si>
    <t xml:space="preserve">MDL-0079</t>
  </si>
  <si>
    <t xml:space="preserve">CW</t>
  </si>
  <si>
    <t xml:space="preserve">ud-trucks-cw</t>
  </si>
  <si>
    <t xml:space="preserve">Nissan Diesel CW</t>
  </si>
  <si>
    <t xml:space="preserve">Legacy Nissan Diesel heavy series from earlier import waves.</t>
  </si>
  <si>
    <t xml:space="preserve">MDL-0080</t>
  </si>
  <si>
    <t xml:space="preserve">9800</t>
  </si>
  <si>
    <t xml:space="preserve">international-9800</t>
  </si>
  <si>
    <t xml:space="preserve">9800i</t>
  </si>
  <si>
    <t xml:space="preserve">Export-market cabover encountered in niche haulage fleets.</t>
  </si>
  <si>
    <t xml:space="preserve">MDL-0081</t>
  </si>
  <si>
    <t xml:space="preserve">Granite</t>
  </si>
  <si>
    <t xml:space="preserve">mack-granite</t>
  </si>
  <si>
    <t xml:space="preserve">Construction/oilfield conventional in specialized fleets.</t>
  </si>
  <si>
    <t xml:space="preserve">MDL-0082</t>
  </si>
  <si>
    <t xml:space="preserve">815</t>
  </si>
  <si>
    <t xml:space="preserve">tatra-815</t>
  </si>
  <si>
    <t xml:space="preserve">T815</t>
  </si>
  <si>
    <t xml:space="preserve">All-terrain platform used in specialized public-works and desert work.</t>
  </si>
  <si>
    <t xml:space="preserve">MDL-0083</t>
  </si>
  <si>
    <t xml:space="preserve">4320</t>
  </si>
  <si>
    <t xml:space="preserve">ural-4320</t>
  </si>
  <si>
    <t xml:space="preserve">Soviet-era 6x6 surviving in specialized southern fleets.</t>
  </si>
  <si>
    <t xml:space="preserve">MDL-0084</t>
  </si>
  <si>
    <t xml:space="preserve">130</t>
  </si>
  <si>
    <t xml:space="preserve">zil-130</t>
  </si>
  <si>
    <t xml:space="preserve">Legacy Soviet carrier; residual units sustain a small parts niche.</t>
  </si>
  <si>
    <t xml:space="preserve">3️⃣ Statistics</t>
  </si>
  <si>
    <t xml:space="preserve">Auto-calculated summary — every value is a live formula, never type over it</t>
  </si>
  <si>
    <t xml:space="preserve">• This sheet is 100% formula-driven from tblBrands and tblModels. It updates automatically as you add rows to the data sheets.</t>
  </si>
  <si>
    <t xml:space="preserve">• Do not enter data here. If a value looks wrong, fix the source row on 1️⃣ Brands or 2️⃣ Models.</t>
  </si>
  <si>
    <t xml:space="preserve">• 'Top Brands' counts models per brand; 'Top Models' lists tier-1 models. Re-sort visually after large data loads if needed.</t>
  </si>
  <si>
    <t xml:space="preserve">Headline Counts</t>
  </si>
  <si>
    <t xml:space="preserve">All rows on the Brands sheet.</t>
  </si>
  <si>
    <t xml:space="preserve">All rows on the Models sheet.</t>
  </si>
  <si>
    <t xml:space="preserve">Brands with Status = active (importable).</t>
  </si>
  <si>
    <t xml:space="preserve">Models with Status = active (importable).</t>
  </si>
  <si>
    <t xml:space="preserve">Draft Brands</t>
  </si>
  <si>
    <t xml:space="preserve">Excluded from import.</t>
  </si>
  <si>
    <t xml:space="preserve">Draft Models</t>
  </si>
  <si>
    <t xml:space="preserve">Tier-1 Brands (very high demand)</t>
  </si>
  <si>
    <t xml:space="preserve">dz_tier = 1 on the Brands sheet.</t>
  </si>
  <si>
    <t xml:space="preserve">Tier-1 Models (very high demand)</t>
  </si>
  <si>
    <t xml:space="preserve">dz_tier = 1 on the Models sheet.</t>
  </si>
  <si>
    <t xml:space="preserve">Top Brands — models per brand (live)</t>
  </si>
  <si>
    <t xml:space="preserve">Model Count</t>
  </si>
  <si>
    <t xml:space="preserve">Note</t>
  </si>
  <si>
    <t xml:space="preserve">Rows follow the Brands sheet order (sorted by popularity). Extend downward as brands are added.</t>
  </si>
  <si>
    <t xml:space="preserve">Top Models — tier-1 demand (live)</t>
  </si>
  <si>
    <t xml:space="preserve">Filter view: on 2️⃣ Models, filter 'Popularity Algeria' = 1 to list top models. The counts below stay live:</t>
  </si>
  <si>
    <t xml:space="preserve">Tier-1 model count</t>
  </si>
  <si>
    <t xml:space="preserve">Models with dz_tier = 1 (e.g. Kerax, Actros, K120, HOWO, F3000…).</t>
  </si>
  <si>
    <t xml:space="preserve">First tier-1 model (lookup)</t>
  </si>
  <si>
    <t xml:space="preserve">INDEX/MATCH pattern — duplicate for further rankings if needed.</t>
  </si>
  <si>
    <t xml:space="preserve">Coverage — tier distribution (live)</t>
  </si>
  <si>
    <t xml:space="preserve">Tier-1 brands</t>
  </si>
  <si>
    <t xml:space="preserve">Very high parts demand.</t>
  </si>
  <si>
    <t xml:space="preserve">Tier-2 brands</t>
  </si>
  <si>
    <t xml:space="preserve">High demand.</t>
  </si>
  <si>
    <t xml:space="preserve">Tier-3 brands</t>
  </si>
  <si>
    <t xml:space="preserve">Medium demand.</t>
  </si>
  <si>
    <t xml:space="preserve">Tier-4 brands</t>
  </si>
  <si>
    <t xml:space="preserve">Low / niche demand.</t>
  </si>
  <si>
    <t xml:space="preserve">Tier-1 models</t>
  </si>
  <si>
    <t xml:space="preserve">Tier-2 models</t>
  </si>
  <si>
    <t xml:space="preserve">Tier-3 models</t>
  </si>
  <si>
    <t xml:space="preserve">Tier-4 models</t>
  </si>
  <si>
    <t xml:space="preserve">Brands covered by ≥1 model</t>
  </si>
  <si>
    <t xml:space="preserve">FK coverage check — active brands should all have models (draft brands may not).</t>
  </si>
  <si>
    <t xml:space="preserve">Average models per brand</t>
  </si>
  <si>
    <t xml:space="preserve">Depth of coverage.</t>
  </si>
  <si>
    <t xml:space="preserve">4️⃣ Hierarchy View</t>
  </si>
  <si>
    <t xml:space="preserve">Visual reference of the V1 data hierarchy: Vehicle Category → Brand → Model</t>
  </si>
  <si>
    <t xml:space="preserve">• This sheet documents the ONLY hierarchy allowed in the V1 structure. Anything deeper (family, generation, engine, trim) is out of scope until V2 of the Standard.</t>
  </si>
  <si>
    <t xml:space="preserve">• The example below uses real rows from this dataset. It is illustrative — the data sheets remain the source of truth.</t>
  </si>
  <si>
    <t xml:space="preserve">• Every Model rolls up to exactly one Brand, and every Brand belongs to this dataset's single Vehicle Category: heavy_truck.</t>
  </si>
  <si>
    <t xml:space="preserve">The V1 Hierarchy</t>
  </si>
  <si>
    <t xml:space="preserve">LEVEL 1 — Vehicle Category</t>
  </si>
  <si>
    <t xml:space="preserve">This dataset covers a single category: heavy_truck.</t>
  </si>
  <si>
    <t xml:space="preserve">↓</t>
  </si>
  <si>
    <t xml:space="preserve">LEVEL 2 — Brand</t>
  </si>
  <si>
    <t xml:space="preserve">Manufacturer / marque. Stored on 1️⃣ Brands. Unique per dataset.</t>
  </si>
  <si>
    <t xml:space="preserve">LEVEL 3 — Model</t>
  </si>
  <si>
    <t xml:space="preserve">Commercial model name. Stored on 2️⃣ Models. Belongs to exactly one Brand.</t>
  </si>
  <si>
    <t xml:space="preserve">Worked Example (from this dataset)</t>
  </si>
  <si>
    <t xml:space="preserve">Vehicle Category — this dataset</t>
  </si>
  <si>
    <t xml:space="preserve">   └─ SNVI</t>
  </si>
  <si>
    <t xml:space="preserve">Brand — BRD-0005</t>
  </si>
  <si>
    <t xml:space="preserve">        └─ K120</t>
  </si>
  <si>
    <t xml:space="preserve">Model — MDL-0026</t>
  </si>
  <si>
    <t xml:space="preserve">        └─ C260</t>
  </si>
  <si>
    <t xml:space="preserve">Model — MDL-0028</t>
  </si>
  <si>
    <t xml:space="preserve">   └─ Renault Trucks</t>
  </si>
  <si>
    <t xml:space="preserve">Brand — BRD-0003</t>
  </si>
  <si>
    <t xml:space="preserve">        └─ Kerax</t>
  </si>
  <si>
    <t xml:space="preserve">Model — MDL-0012</t>
  </si>
  <si>
    <t xml:space="preserve">        └─ Premium</t>
  </si>
  <si>
    <t xml:space="preserve">Model — MDL-0013</t>
  </si>
  <si>
    <t xml:space="preserve">   └─ Shacman</t>
  </si>
  <si>
    <t xml:space="preserve">Brand — BRD-0004</t>
  </si>
  <si>
    <t xml:space="preserve">        └─ X3000</t>
  </si>
  <si>
    <t xml:space="preserve">Model — MDL-0022</t>
  </si>
  <si>
    <t xml:space="preserve">5️⃣ Database Mapping</t>
  </si>
  <si>
    <t xml:space="preserve">How every workbook column lands in the PieceFacile Supabase/PostgreSQL schema</t>
  </si>
  <si>
    <t xml:space="preserve">• Three DB tables receive this data: vehicle_categories, brands, models. Import in that order (parents first).</t>
  </si>
  <si>
    <t xml:space="preserve">• Primary keys (id) are generated by Postgres (identity/uuid). Workbook IDs are stored as external_ref for traceability and idempotent re-imports.</t>
  </si>
  <si>
    <t xml:space="preserve">• Every mapping row below is normative: importers must not rename, retype, or skip columns.</t>
  </si>
  <si>
    <t xml:space="preserve">Sheet the source column lives on.</t>
  </si>
  <si>
    <t xml:space="preserve">Exact column header in this workbook.</t>
  </si>
  <si>
    <t xml:space="preserve">Target table in the PieceFacile schema.</t>
  </si>
  <si>
    <t xml:space="preserve">Target column name (snake_case).</t>
  </si>
  <si>
    <t xml:space="preserve">Column type in PostgreSQL/Supabase.</t>
  </si>
  <si>
    <t xml:space="preserve">NOT NULL / UNIQUE / FK / CHECK rules the importer must enforce.</t>
  </si>
  <si>
    <t xml:space="preserve">Workbook Sheet</t>
  </si>
  <si>
    <t xml:space="preserve">Workbook Column</t>
  </si>
  <si>
    <t xml:space="preserve">DB Table</t>
  </si>
  <si>
    <t xml:space="preserve">DB Column</t>
  </si>
  <si>
    <t xml:space="preserve">PostgreSQL Type</t>
  </si>
  <si>
    <t xml:space="preserve">Constraint / Rule</t>
  </si>
  <si>
    <t xml:space="preserve">📋 Overview</t>
  </si>
  <si>
    <t xml:space="preserve">vehicle_categories</t>
  </si>
  <si>
    <t xml:space="preserve">name</t>
  </si>
  <si>
    <t xml:space="preserve">text</t>
  </si>
  <si>
    <t xml:space="preserve">NOT NULL, UNIQUE. This dataset: 'Heavy Trucks'.</t>
  </si>
  <si>
    <t xml:space="preserve">Category (slugified)</t>
  </si>
  <si>
    <t xml:space="preserve">slug</t>
  </si>
  <si>
    <t xml:space="preserve">NOT NULL, UNIQUE. This dataset: 'heavy_truck'.</t>
  </si>
  <si>
    <t xml:space="preserve">—</t>
  </si>
  <si>
    <t xml:space="preserve">(generated)</t>
  </si>
  <si>
    <t xml:space="preserve">id</t>
  </si>
  <si>
    <t xml:space="preserve">bigint identity</t>
  </si>
  <si>
    <t xml:space="preserve">PRIMARY KEY. Generated by Postgres.</t>
  </si>
  <si>
    <t xml:space="preserve">brands</t>
  </si>
  <si>
    <t xml:space="preserve">external_ref</t>
  </si>
  <si>
    <t xml:space="preserve">NOT NULL, UNIQUE. Business key BRD-#### from this workbook.</t>
  </si>
  <si>
    <t xml:space="preserve">NOT NULL, UNIQUE within category.</t>
  </si>
  <si>
    <t xml:space="preserve">NOT NULL, UNIQUE. CHECK: matches ^[a-z0-9]+(-[a-z0-9]+)*$.</t>
  </si>
  <si>
    <t xml:space="preserve">country</t>
  </si>
  <si>
    <t xml:space="preserve">NULLABLE. ISO English country name.</t>
  </si>
  <si>
    <t xml:space="preserve">parent_group</t>
  </si>
  <si>
    <t xml:space="preserve">NULLABLE.</t>
  </si>
  <si>
    <t xml:space="preserve">alt_names</t>
  </si>
  <si>
    <t xml:space="preserve">text[]</t>
  </si>
  <si>
    <t xml:space="preserve">NULLABLE. Split the comma-separated list into a Postgres array.</t>
  </si>
  <si>
    <t xml:space="preserve">dz_tier</t>
  </si>
  <si>
    <t xml:space="preserve">smallint</t>
  </si>
  <si>
    <t xml:space="preserve">NOT NULL. CHECK (dz_tier BETWEEN 1 AND 4).</t>
  </si>
  <si>
    <t xml:space="preserve">status</t>
  </si>
  <si>
    <t xml:space="preserve">NOT NULL. CHECK (status IN ('active','draft')). Import 'active' only.</t>
  </si>
  <si>
    <t xml:space="preserve">notes</t>
  </si>
  <si>
    <t xml:space="preserve">(derived from file)</t>
  </si>
  <si>
    <t xml:space="preserve">category_id</t>
  </si>
  <si>
    <t xml:space="preserve">bigint</t>
  </si>
  <si>
    <t xml:space="preserve">NOT NULL. FK → vehicle_categories(id).</t>
  </si>
  <si>
    <t xml:space="preserve">models</t>
  </si>
  <si>
    <t xml:space="preserve">NOT NULL, UNIQUE. Business key MDL-#### from this workbook.</t>
  </si>
  <si>
    <t xml:space="preserve">brand_id</t>
  </si>
  <si>
    <t xml:space="preserve">NOT NULL. FK → brands(id), resolved via brands.external_ref.</t>
  </si>
  <si>
    <t xml:space="preserve">NOT NULL. UNIQUE together with brand_id.</t>
  </si>
  <si>
    <t xml:space="preserve">NOT NULL, UNIQUE globally. Format &lt;brand-slug&gt;-&lt;model-slug&gt;.</t>
  </si>
  <si>
    <t xml:space="preserve">vehicle_type</t>
  </si>
  <si>
    <t xml:space="preserve">NOT NULL. CHECK against the seven category codes; 'heavy_truck' here.</t>
  </si>
  <si>
    <t xml:space="preserve">NULLABLE. Split comma-separated list into array.</t>
  </si>
  <si>
    <t xml:space="preserve">(not stored)</t>
  </si>
  <si>
    <t xml:space="preserve">Display-only redundancy in the workbook. Validate it matches brands.name, then drop.</t>
  </si>
  <si>
    <t xml:space="preserve">6️⃣ Import Rules</t>
  </si>
  <si>
    <t xml:space="preserve">Validation contract — every dataset must pass all rules before import into Supabase</t>
  </si>
  <si>
    <t xml:space="preserve">• Run through every section below before importing. A dataset that violates any rule marked REQUIRED must be rejected.</t>
  </si>
  <si>
    <t xml:space="preserve">• These rules apply identically to all seven dataset categories. No category-specific exceptions in V1.</t>
  </si>
  <si>
    <t xml:space="preserve">Required Fields (import must fail if blank)</t>
  </si>
  <si>
    <t xml:space="preserve">Sheet</t>
  </si>
  <si>
    <t xml:space="preserve">Required Columns</t>
  </si>
  <si>
    <t xml:space="preserve">Why</t>
  </si>
  <si>
    <t xml:space="preserve">Brand ID · Brand Name · Slug · Popularity Algeria · Status</t>
  </si>
  <si>
    <t xml:space="preserve">Identity, display, routing, DZ prioritization, import gate.</t>
  </si>
  <si>
    <t xml:space="preserve">Model ID · Brand ID · Brand Name · Model Name · Slug · Vehicle Type · Popularity Algeria · Status</t>
  </si>
  <si>
    <t xml:space="preserve">Identity, FK integrity, display, routing, category, prioritization, import gate.</t>
  </si>
  <si>
    <t xml:space="preserve">Dataset Name · Category · Version · Market · Last Update</t>
  </si>
  <si>
    <t xml:space="preserve">Provenance and versioning of every published dataset.</t>
  </si>
  <si>
    <t xml:space="preserve">Optional Fields</t>
  </si>
  <si>
    <t xml:space="preserve">Optional Columns</t>
  </si>
  <si>
    <t xml:space="preserve">Behavior when blank</t>
  </si>
  <si>
    <t xml:space="preserve">Country · Parent Group · Alternative Names · Notes</t>
  </si>
  <si>
    <t xml:space="preserve">Imported as NULL / empty array. Never invent values.</t>
  </si>
  <si>
    <t xml:space="preserve">Alternative Names · Notes</t>
  </si>
  <si>
    <t xml:space="preserve">Imported as NULL / empty array.</t>
  </si>
  <si>
    <t xml:space="preserve">Unique Constraints</t>
  </si>
  <si>
    <t xml:space="preserve">Constraint</t>
  </si>
  <si>
    <t xml:space="preserve">Enforcement</t>
  </si>
  <si>
    <t xml:space="preserve">Brands</t>
  </si>
  <si>
    <t xml:space="preserve">Brand ID unique · Brand Name unique · Slug unique</t>
  </si>
  <si>
    <t xml:space="preserve">Reject the whole file on any duplicate (REQUIRED).</t>
  </si>
  <si>
    <t xml:space="preserve">Models</t>
  </si>
  <si>
    <t xml:space="preserve">Model ID unique · Slug unique globally · (Brand ID + Model Name) unique</t>
  </si>
  <si>
    <t xml:space="preserve">Cross-sheet</t>
  </si>
  <si>
    <t xml:space="preserve">Every Models.Brand ID must exist on Brands; Models.Brand Name must equal the referenced brand's name</t>
  </si>
  <si>
    <t xml:space="preserve">Referential integrity check before import (REQUIRED).</t>
  </si>
  <si>
    <t xml:space="preserve">Slug Rules</t>
  </si>
  <si>
    <t xml:space="preserve">Rule</t>
  </si>
  <si>
    <t xml:space="preserve">Definition</t>
  </si>
  <si>
    <t xml:space="preserve">Examples</t>
  </si>
  <si>
    <t xml:space="preserve">Charset</t>
  </si>
  <si>
    <t xml:space="preserve">Lowercase ASCII letters, digits, single hyphens. No spaces, accents, Arabic script, underscores, or leading/trailing hyphens. Regex: ^[a-z0-9]+(-[a-z0-9]+)*$</t>
  </si>
  <si>
    <t xml:space="preserve">'shacman' ✓ · 'Shacman' ✗ · 'sh_acman' ✗</t>
  </si>
  <si>
    <t xml:space="preserve">Transliteration</t>
  </si>
  <si>
    <t xml:space="preserve">Accented and non-Latin names are transliterated to ASCII before slugging.</t>
  </si>
  <si>
    <t xml:space="preserve">'Citroën' → 'citroen' · 'شاكمان' → use official Latin name 'shacman'</t>
  </si>
  <si>
    <t xml:space="preserve">Brand slug</t>
  </si>
  <si>
    <t xml:space="preserve">Derived from Brand Name only.</t>
  </si>
  <si>
    <t xml:space="preserve">'Mercedes-Benz' → 'mercedes-benz'</t>
  </si>
  <si>
    <t xml:space="preserve">Model slug</t>
  </si>
  <si>
    <t xml:space="preserve">Always prefixed with the brand slug: &lt;brand-slug&gt;-&lt;model-slug&gt;. Guarantees global uniqueness.</t>
  </si>
  <si>
    <t xml:space="preserve">'renault-trucks-kerax' · 'sinotruk-howo'</t>
  </si>
  <si>
    <t xml:space="preserve">Stability</t>
  </si>
  <si>
    <t xml:space="preserve">Slugs are permanent once published. Renames create a new row; never edit a published slug.</t>
  </si>
  <si>
    <t xml:space="preserve">Prevents broken URLs and FK drift.</t>
  </si>
  <si>
    <t xml:space="preserve">Normalization Rules</t>
  </si>
  <si>
    <t xml:space="preserve">Field</t>
  </si>
  <si>
    <t xml:space="preserve">Brand / Model Name</t>
  </si>
  <si>
    <t xml:space="preserve">Official Latin spelling, trimmed, single internal spaces, proper case as branded. No trim levels or engine codes in the name.</t>
  </si>
  <si>
    <t xml:space="preserve">'Kerax' ✓ · 'Kerax 380 DXi' ✗</t>
  </si>
  <si>
    <t xml:space="preserve">Comma-separated, trimmed, deduplicated. May contain Arabic/French variants — these live here, never in the main Name.</t>
  </si>
  <si>
    <t xml:space="preserve">'كاماز' · 'Nissan Diesel'</t>
  </si>
  <si>
    <t xml:space="preserve">Full ISO English country name.</t>
  </si>
  <si>
    <t xml:space="preserve">'France' ✓ · 'FR' ✗</t>
  </si>
  <si>
    <t xml:space="preserve">Popularity Algeria (dz_tier)</t>
  </si>
  <si>
    <t xml:space="preserve">Integer 1–4 only. 1 = very high parts demand · 2 = high · 3 = medium · 4 = low/niche. Judged Algeria-first: installed fleet, aging fleets still needing parts, local assembly.</t>
  </si>
  <si>
    <t xml:space="preserve">'1' ✓ · 'High' ✗</t>
  </si>
  <si>
    <t xml:space="preserve">Exactly 'active' or 'draft', lowercase.</t>
  </si>
  <si>
    <t xml:space="preserve">'Active' ✗</t>
  </si>
  <si>
    <t xml:space="preserve">Dates</t>
  </si>
  <si>
    <t xml:space="preserve">ISO 8601 (YYYY-MM-DD), stored as text on the Overview sheet.</t>
  </si>
  <si>
    <t xml:space="preserve">'2026-07-02'</t>
  </si>
  <si>
    <t xml:space="preserve">Text encoding</t>
  </si>
  <si>
    <t xml:space="preserve">UTF-8 throughout. CSV exports must be UTF-8 (no BOM issues into Postgres COPY).</t>
  </si>
  <si>
    <t xml:space="preserve">Duplicate Handling</t>
  </si>
  <si>
    <t xml:space="preserve">Scenario</t>
  </si>
  <si>
    <t xml:space="preserve">Resolution</t>
  </si>
  <si>
    <t xml:space="preserve">Same brand appears twice with different spellings</t>
  </si>
  <si>
    <t xml:space="preserve">Keep one canonical row; move the other spelling into Alternative Names.</t>
  </si>
  <si>
    <t xml:space="preserve">e.g. 'Nissan Diesel' folded into 'UD Trucks'.</t>
  </si>
  <si>
    <t xml:space="preserve">Same model under two brands (rebadge)</t>
  </si>
  <si>
    <t xml:space="preserve">Create one row per brand. Cross-reference in Notes; do not merge.</t>
  </si>
  <si>
    <t xml:space="preserve">e.g. rebadged units sold under two marques.</t>
  </si>
  <si>
    <t xml:space="preserve">Re-import of an existing dataset</t>
  </si>
  <si>
    <t xml:space="preserve">Upsert on external_ref (Brand ID / Model ID). Update mutable fields; never change slug or external_ref.</t>
  </si>
  <si>
    <t xml:space="preserve">Guarantees idempotent imports into Supabase.</t>
  </si>
  <si>
    <t xml:space="preserve">Row deleted from the workbook</t>
  </si>
  <si>
    <t xml:space="preserve">Do NOT hard-delete in DB. Set status to 'draft' (soft retire) to preserve references from parts requests.</t>
  </si>
  <si>
    <t xml:space="preserve">Marketplace history must never break.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</si>
</sst>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5EBC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1F2937"/>
      <name val="Arial"/>
      <family val="0"/>
      <charset val="1"/>
    </font>
    <font>
      <i val="true"/>
      <sz val="8"/>
      <color rgb="FF5B6472"/>
      <name val="Arial"/>
      <family val="0"/>
      <charset val="1"/>
    </font>
    <font>
      <b val="true"/>
      <sz val="11"/>
      <color rgb="FF1E7A46"/>
      <name val="Arial"/>
      <family val="0"/>
      <charset val="1"/>
    </font>
    <font>
      <b val="true"/>
      <sz val="8"/>
      <color rgb="FF5B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4"/>
      <color rgb="FFC9A227"/>
      <name val="Arial"/>
      <family val="0"/>
      <charset val="1"/>
    </font>
    <font>
      <sz val="10"/>
      <color rgb="FF3B4A6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1F2937"/>
      </patternFill>
    </fill>
    <fill>
      <patternFill patternType="solid">
        <fgColor rgb="FFF5EBCF"/>
        <bgColor rgb="FFF2F4F8"/>
      </patternFill>
    </fill>
    <fill>
      <patternFill patternType="solid">
        <fgColor rgb="FFF2F4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227"/>
      </bottom>
      <diagonal/>
    </border>
    <border diagonalUp="false" diagonalDown="false">
      <left style="thin">
        <color rgb="FFC7CDD8"/>
      </left>
      <right style="thin">
        <color rgb="FFC7CDD8"/>
      </right>
      <top style="thin">
        <color rgb="FFC7CDD8"/>
      </top>
      <bottom style="thin">
        <color rgb="FFC7CD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46"/>
      <rgbColor rgb="FFC0C0C0"/>
      <rgbColor rgb="FF808080"/>
      <rgbColor rgb="FF9999FF"/>
      <rgbColor rgb="FF993366"/>
      <rgbColor rgb="FFF5EBCF"/>
      <rgbColor rgb="FFF2F4F8"/>
      <rgbColor rgb="FF660066"/>
      <rgbColor rgb="FFFF8080"/>
      <rgbColor rgb="FF0066CC"/>
      <rgbColor rgb="FFC7CD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5B6472"/>
      <rgbColor rgb="FF969696"/>
      <rgbColor rgb="FF1B2A4A"/>
      <rgbColor rgb="FF339966"/>
      <rgbColor rgb="FF003300"/>
      <rgbColor rgb="FF333300"/>
      <rgbColor rgb="FF993300"/>
      <rgbColor rgb="FF993366"/>
      <rgbColor rgb="FF3B4A6B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Brands" displayName="tblBrands" ref="A12:I41" headerRowCount="1" totalsRowCount="0" totalsRowShown="0">
  <autoFilter ref="A12:I41"/>
  <tableColumns count="9">
    <tableColumn id="1" name="Brand ID"/>
    <tableColumn id="2" name="Brand Name"/>
    <tableColumn id="3" name="Slug"/>
    <tableColumn id="4" name="Country"/>
    <tableColumn id="5" name="Parent Group"/>
    <tableColumn id="6" name="Alternative Names"/>
    <tableColumn id="7" name="Popularity Algeria"/>
    <tableColumn id="8" name="Status"/>
    <tableColumn id="9" name="Notes"/>
  </tableColumns>
</table>
</file>

<file path=xl/tables/table2.xml><?xml version="1.0" encoding="utf-8"?>
<table xmlns="http://schemas.openxmlformats.org/spreadsheetml/2006/main" id="2" name="tblDupes" displayName="tblDupes" ref="A44:C48" headerRowCount="1" totalsRowCount="0" totalsRowShown="0">
  <autoFilter ref="A44:C48"/>
  <tableColumns count="3">
    <tableColumn id="1" name="Scenario"/>
    <tableColumn id="2" name="Resolution"/>
    <tableColumn id="3" name="Notes"/>
  </tableColumns>
</table>
</file>

<file path=xl/tables/table3.xml><?xml version="1.0" encoding="utf-8"?>
<table xmlns="http://schemas.openxmlformats.org/spreadsheetml/2006/main" id="3" name="tblMapping" displayName="tblMapping" ref="A11:F36" headerRowCount="1" totalsRowCount="0" totalsRowShown="0">
  <autoFilter ref="A11:F36"/>
  <tableColumns count="6">
    <tableColumn id="1" name="Workbook Sheet"/>
    <tableColumn id="2" name="Workbook Column"/>
    <tableColumn id="3" name="DB Table"/>
    <tableColumn id="4" name="DB Column"/>
    <tableColumn id="5" name="PostgreSQL Type"/>
    <tableColumn id="6" name="Constraint / Rule"/>
  </tableColumns>
</table>
</file>

<file path=xl/tables/table4.xml><?xml version="1.0" encoding="utf-8"?>
<table xmlns="http://schemas.openxmlformats.org/spreadsheetml/2006/main" id="4" name="tblModels" displayName="tblModels" ref="A13:J97" headerRowCount="1" totalsRowCount="0" totalsRowShown="0">
  <autoFilter ref="A13:J97"/>
  <tableColumns count="10">
    <tableColumn id="1" name="Model ID"/>
    <tableColumn id="2" name="Brand ID"/>
    <tableColumn id="3" name="Brand Name"/>
    <tableColumn id="4" name="Model Name"/>
    <tableColumn id="5" name="Slug"/>
    <tableColumn id="6" name="Vehicle Type"/>
    <tableColumn id="7" name="Alternative Names"/>
    <tableColumn id="8" name="Popularity Algeria"/>
    <tableColumn id="9" name="Status"/>
    <tableColumn id="10" name="Notes"/>
  </tableColumns>
</table>
</file>

<file path=xl/tables/table5.xml><?xml version="1.0" encoding="utf-8"?>
<table xmlns="http://schemas.openxmlformats.org/spreadsheetml/2006/main" id="5" name="tblNorm" displayName="tblNorm" ref="A34:C41" headerRowCount="1" totalsRowCount="0" totalsRowShown="0">
  <autoFilter ref="A34:C41"/>
  <tableColumns count="3">
    <tableColumn id="1" name="Field"/>
    <tableColumn id="2" name="Rule"/>
    <tableColumn id="3" name="Examples"/>
  </tableColumns>
</table>
</file>

<file path=xl/tables/table6.xml><?xml version="1.0" encoding="utf-8"?>
<table xmlns="http://schemas.openxmlformats.org/spreadsheetml/2006/main" id="6" name="tblOptFields" displayName="tblOptFields" ref="A15:C17" headerRowCount="1" totalsRowCount="0" totalsRowShown="0">
  <autoFilter ref="A15:C17"/>
  <tableColumns count="3">
    <tableColumn id="1" name="Sheet"/>
    <tableColumn id="2" name="Optional Columns"/>
    <tableColumn id="3" name="Behavior when blank"/>
  </tableColumns>
</table>
</file>

<file path=xl/tables/table7.xml><?xml version="1.0" encoding="utf-8"?>
<table xmlns="http://schemas.openxmlformats.org/spreadsheetml/2006/main" id="7" name="tblReqFields" displayName="tblReqFields" ref="A9:C12" headerRowCount="1" totalsRowCount="0" totalsRowShown="0">
  <autoFilter ref="A9:C12"/>
  <tableColumns count="3">
    <tableColumn id="1" name="Sheet"/>
    <tableColumn id="2" name="Required Columns"/>
    <tableColumn id="3" name="Why"/>
  </tableColumns>
</table>
</file>

<file path=xl/tables/table8.xml><?xml version="1.0" encoding="utf-8"?>
<table xmlns="http://schemas.openxmlformats.org/spreadsheetml/2006/main" id="8" name="tblSlugs" displayName="tblSlugs" ref="A26:C31" headerRowCount="1" totalsRowCount="0" totalsRowShown="0">
  <autoFilter ref="A26:C31"/>
  <tableColumns count="3">
    <tableColumn id="1" name="Rule"/>
    <tableColumn id="2" name="Definition"/>
    <tableColumn id="3" name="Examples"/>
  </tableColumns>
</table>
</file>

<file path=xl/tables/table9.xml><?xml version="1.0" encoding="utf-8"?>
<table xmlns="http://schemas.openxmlformats.org/spreadsheetml/2006/main" id="9" name="tblUnique" displayName="tblUnique" ref="A20:C23" headerRowCount="1" totalsRowCount="0" totalsRowShown="0">
  <autoFilter ref="A20:C23"/>
  <tableColumns count="3">
    <tableColumn id="1" name="Scope"/>
    <tableColumn id="2" name="Constraint"/>
    <tableColumn id="3" name="Enforcem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5.xml"/><Relationship Id="rId3" Type="http://schemas.openxmlformats.org/officeDocument/2006/relationships/table" Target="../tables/table6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Relationship Id="rId6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4" customFormat="false" ht="13.5" hidden="false" customHeight="true" outlineLevel="0" collapsed="false">
      <c r="A4" s="3" t="s">
        <v>2</v>
      </c>
      <c r="B4" s="3"/>
      <c r="C4" s="3"/>
      <c r="D4" s="3"/>
    </row>
    <row r="5" customFormat="false" ht="25.5" hidden="false" customHeight="true" outlineLevel="0" collapsed="false">
      <c r="A5" s="4" t="s">
        <v>3</v>
      </c>
      <c r="B5" s="4"/>
      <c r="C5" s="4"/>
      <c r="D5" s="4"/>
    </row>
    <row r="6" customFormat="false" ht="25.5" hidden="false" customHeight="true" outlineLevel="0" collapsed="false">
      <c r="A6" s="4" t="s">
        <v>4</v>
      </c>
      <c r="B6" s="4"/>
      <c r="C6" s="4"/>
      <c r="D6" s="4"/>
    </row>
    <row r="7" customFormat="false" ht="25.5" hidden="false" customHeight="true" outlineLevel="0" collapsed="false">
      <c r="A7" s="4" t="s">
        <v>5</v>
      </c>
      <c r="B7" s="4"/>
      <c r="C7" s="4"/>
      <c r="D7" s="4"/>
    </row>
    <row r="8" customFormat="false" ht="25.5" hidden="false" customHeight="true" outlineLevel="0" collapsed="false">
      <c r="A8" s="4" t="s">
        <v>6</v>
      </c>
      <c r="B8" s="4"/>
      <c r="C8" s="4"/>
      <c r="D8" s="4"/>
    </row>
    <row r="10" customFormat="false" ht="19.5" hidden="false" customHeight="true" outlineLevel="0" collapsed="false">
      <c r="A10" s="5" t="s">
        <v>7</v>
      </c>
      <c r="B10" s="5"/>
      <c r="C10" s="5"/>
      <c r="D10" s="5"/>
    </row>
    <row r="11" customFormat="false" ht="27.75" hidden="false" customHeight="true" outlineLevel="0" collapsed="false">
      <c r="A11" s="6" t="s">
        <v>8</v>
      </c>
      <c r="B11" s="7" t="s">
        <v>9</v>
      </c>
      <c r="C11" s="8" t="s">
        <v>10</v>
      </c>
      <c r="D11" s="8"/>
    </row>
    <row r="12" customFormat="false" ht="27.75" hidden="false" customHeight="true" outlineLevel="0" collapsed="false">
      <c r="A12" s="6" t="s">
        <v>11</v>
      </c>
      <c r="B12" s="7" t="s">
        <v>12</v>
      </c>
      <c r="C12" s="8" t="s">
        <v>13</v>
      </c>
      <c r="D12" s="8"/>
    </row>
    <row r="13" customFormat="false" ht="27.75" hidden="false" customHeight="true" outlineLevel="0" collapsed="false">
      <c r="A13" s="6" t="s">
        <v>14</v>
      </c>
      <c r="B13" s="7" t="s">
        <v>15</v>
      </c>
      <c r="C13" s="8" t="s">
        <v>16</v>
      </c>
      <c r="D13" s="8"/>
    </row>
    <row r="14" customFormat="false" ht="27.75" hidden="false" customHeight="true" outlineLevel="0" collapsed="false">
      <c r="A14" s="6" t="s">
        <v>17</v>
      </c>
      <c r="B14" s="7" t="s">
        <v>18</v>
      </c>
      <c r="C14" s="8" t="s">
        <v>19</v>
      </c>
      <c r="D14" s="8"/>
    </row>
    <row r="15" customFormat="false" ht="27.75" hidden="false" customHeight="true" outlineLevel="0" collapsed="false">
      <c r="A15" s="6" t="s">
        <v>20</v>
      </c>
      <c r="B15" s="7" t="s">
        <v>21</v>
      </c>
      <c r="C15" s="8" t="s">
        <v>22</v>
      </c>
      <c r="D15" s="8"/>
    </row>
    <row r="16" customFormat="false" ht="27.75" hidden="false" customHeight="true" outlineLevel="0" collapsed="false">
      <c r="A16" s="6" t="s">
        <v>23</v>
      </c>
      <c r="B16" s="7" t="s">
        <v>24</v>
      </c>
      <c r="C16" s="8" t="s">
        <v>25</v>
      </c>
      <c r="D16" s="8"/>
    </row>
    <row r="17" customFormat="false" ht="27.75" hidden="false" customHeight="true" outlineLevel="0" collapsed="false">
      <c r="A17" s="6" t="s">
        <v>26</v>
      </c>
      <c r="B17" s="7" t="s">
        <v>27</v>
      </c>
      <c r="C17" s="8" t="s">
        <v>28</v>
      </c>
      <c r="D17" s="8"/>
    </row>
    <row r="18" customFormat="false" ht="27.75" hidden="false" customHeight="true" outlineLevel="0" collapsed="false">
      <c r="A18" s="6" t="s">
        <v>29</v>
      </c>
      <c r="B18" s="7" t="s">
        <v>30</v>
      </c>
      <c r="C18" s="8" t="s">
        <v>31</v>
      </c>
      <c r="D18" s="8"/>
    </row>
    <row r="19" customFormat="false" ht="27.75" hidden="false" customHeight="true" outlineLevel="0" collapsed="false">
      <c r="A19" s="6" t="s">
        <v>32</v>
      </c>
      <c r="B19" s="7" t="s">
        <v>33</v>
      </c>
      <c r="C19" s="8" t="s">
        <v>34</v>
      </c>
      <c r="D19" s="8"/>
    </row>
    <row r="21" customFormat="false" ht="19.5" hidden="false" customHeight="true" outlineLevel="0" collapsed="false">
      <c r="A21" s="5" t="s">
        <v>35</v>
      </c>
      <c r="B21" s="5"/>
      <c r="C21" s="5"/>
      <c r="D21" s="5"/>
    </row>
    <row r="22" customFormat="false" ht="19.5" hidden="false" customHeight="true" outlineLevel="0" collapsed="false">
      <c r="A22" s="6" t="s">
        <v>36</v>
      </c>
      <c r="B22" s="9" t="n">
        <f aca="false">COUNTA(tblBrands[Brand ID])</f>
        <v>29</v>
      </c>
      <c r="C22" s="8" t="s">
        <v>37</v>
      </c>
      <c r="D22" s="8"/>
    </row>
    <row r="23" customFormat="false" ht="19.5" hidden="false" customHeight="true" outlineLevel="0" collapsed="false">
      <c r="A23" s="6" t="s">
        <v>38</v>
      </c>
      <c r="B23" s="9" t="n">
        <f aca="false">COUNTA(tblModels[Model ID])</f>
        <v>84</v>
      </c>
      <c r="C23" s="8" t="s">
        <v>37</v>
      </c>
      <c r="D23" s="8"/>
    </row>
    <row r="24" customFormat="false" ht="19.5" hidden="false" customHeight="true" outlineLevel="0" collapsed="false">
      <c r="A24" s="6" t="s">
        <v>39</v>
      </c>
      <c r="B24" s="9" t="n">
        <f aca="false">COUNTIF(tblBrands[Status],"active")</f>
        <v>28</v>
      </c>
      <c r="C24" s="8" t="s">
        <v>37</v>
      </c>
      <c r="D24" s="8"/>
    </row>
    <row r="25" customFormat="false" ht="19.5" hidden="false" customHeight="true" outlineLevel="0" collapsed="false">
      <c r="A25" s="6" t="s">
        <v>40</v>
      </c>
      <c r="B25" s="9" t="n">
        <f aca="false">COUNTIF(tblModels[Status],"active")</f>
        <v>84</v>
      </c>
      <c r="C25" s="8" t="s">
        <v>37</v>
      </c>
      <c r="D25" s="8"/>
    </row>
    <row r="27" customFormat="false" ht="19.5" hidden="false" customHeight="true" outlineLevel="0" collapsed="false">
      <c r="A27" s="5" t="s">
        <v>41</v>
      </c>
      <c r="B27" s="5"/>
      <c r="C27" s="5"/>
      <c r="D27" s="5"/>
    </row>
    <row r="28" customFormat="false" ht="15" hidden="false" customHeight="true" outlineLevel="0" collapsed="false">
      <c r="A28" s="10" t="s">
        <v>42</v>
      </c>
      <c r="B28" s="10"/>
      <c r="C28" s="10"/>
      <c r="D28" s="10"/>
    </row>
    <row r="29" customFormat="false" ht="15" hidden="false" customHeight="true" outlineLevel="0" collapsed="false">
      <c r="A29" s="10" t="s">
        <v>43</v>
      </c>
      <c r="B29" s="10"/>
      <c r="C29" s="10"/>
      <c r="D29" s="10"/>
    </row>
    <row r="30" customFormat="false" ht="25.5" hidden="false" customHeight="true" outlineLevel="0" collapsed="false">
      <c r="A30" s="10" t="s">
        <v>44</v>
      </c>
      <c r="B30" s="10"/>
      <c r="C30" s="10"/>
      <c r="D30" s="10"/>
    </row>
    <row r="31" customFormat="false" ht="25.5" hidden="false" customHeight="true" outlineLevel="0" collapsed="false">
      <c r="A31" s="10" t="s">
        <v>45</v>
      </c>
      <c r="B31" s="10"/>
      <c r="C31" s="10"/>
      <c r="D31" s="10"/>
    </row>
    <row r="32" customFormat="false" ht="15" hidden="false" customHeight="true" outlineLevel="0" collapsed="false">
      <c r="A32" s="10" t="s">
        <v>46</v>
      </c>
      <c r="B32" s="10"/>
      <c r="C32" s="10"/>
      <c r="D32" s="10"/>
    </row>
  </sheetData>
  <mergeCells count="28">
    <mergeCell ref="A1:D1"/>
    <mergeCell ref="A2:D2"/>
    <mergeCell ref="A4:D4"/>
    <mergeCell ref="A5:D5"/>
    <mergeCell ref="A6:D6"/>
    <mergeCell ref="A7:D7"/>
    <mergeCell ref="A8:D8"/>
    <mergeCell ref="A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A21:D21"/>
    <mergeCell ref="C22:D22"/>
    <mergeCell ref="C23:D23"/>
    <mergeCell ref="C24:D24"/>
    <mergeCell ref="C25:D25"/>
    <mergeCell ref="A27:D27"/>
    <mergeCell ref="A28:D28"/>
    <mergeCell ref="A29:D29"/>
    <mergeCell ref="A30:D30"/>
    <mergeCell ref="A31:D31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30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48</v>
      </c>
      <c r="B2" s="2"/>
      <c r="C2" s="2"/>
      <c r="D2" s="2"/>
      <c r="E2" s="2"/>
      <c r="F2" s="2"/>
      <c r="G2" s="2"/>
      <c r="H2" s="2"/>
      <c r="I2" s="2"/>
    </row>
    <row r="4" customFormat="false" ht="13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13.5" hidden="false" customHeight="true" outlineLevel="0" collapsed="false">
      <c r="A5" s="4" t="s">
        <v>49</v>
      </c>
      <c r="B5" s="4"/>
      <c r="C5" s="4"/>
      <c r="D5" s="4"/>
      <c r="E5" s="4"/>
      <c r="F5" s="4"/>
      <c r="G5" s="4"/>
      <c r="H5" s="4"/>
      <c r="I5" s="4"/>
    </row>
    <row r="6" customFormat="false" ht="13.5" hidden="false" customHeight="true" outlineLevel="0" collapsed="false">
      <c r="A6" s="4" t="s">
        <v>50</v>
      </c>
      <c r="B6" s="4"/>
      <c r="C6" s="4"/>
      <c r="D6" s="4"/>
      <c r="E6" s="4"/>
      <c r="F6" s="4"/>
      <c r="G6" s="4"/>
      <c r="H6" s="4"/>
      <c r="I6" s="4"/>
    </row>
    <row r="7" customFormat="false" ht="25.5" hidden="false" customHeight="true" outlineLevel="0" collapsed="false">
      <c r="A7" s="4" t="s">
        <v>51</v>
      </c>
      <c r="B7" s="4"/>
      <c r="C7" s="4"/>
      <c r="D7" s="4"/>
      <c r="E7" s="4"/>
      <c r="F7" s="4"/>
      <c r="G7" s="4"/>
      <c r="H7" s="4"/>
      <c r="I7" s="4"/>
    </row>
    <row r="8" customFormat="false" ht="25.5" hidden="false" customHeight="true" outlineLevel="0" collapsed="false">
      <c r="A8" s="4" t="s">
        <v>52</v>
      </c>
      <c r="B8" s="4"/>
      <c r="C8" s="4"/>
      <c r="D8" s="4"/>
      <c r="E8" s="4"/>
      <c r="F8" s="4"/>
      <c r="G8" s="4"/>
      <c r="H8" s="4"/>
      <c r="I8" s="4"/>
    </row>
    <row r="10" customFormat="false" ht="15" hidden="false" customHeight="false" outlineLevel="0" collapsed="false">
      <c r="A10" s="11" t="s">
        <v>53</v>
      </c>
    </row>
    <row r="11" customFormat="false" ht="51.75" hidden="false" customHeight="true" outlineLevel="0" collapsed="false">
      <c r="A11" s="12" t="s">
        <v>54</v>
      </c>
      <c r="B11" s="12" t="s">
        <v>55</v>
      </c>
      <c r="C11" s="12" t="s">
        <v>56</v>
      </c>
      <c r="D11" s="12" t="s">
        <v>57</v>
      </c>
      <c r="E11" s="12" t="s">
        <v>58</v>
      </c>
      <c r="F11" s="12" t="s">
        <v>59</v>
      </c>
      <c r="G11" s="12" t="s">
        <v>60</v>
      </c>
      <c r="H11" s="12" t="s">
        <v>61</v>
      </c>
      <c r="I11" s="12" t="s">
        <v>62</v>
      </c>
    </row>
    <row r="12" customFormat="false" ht="25.5" hidden="false" customHeight="true" outlineLevel="0" collapsed="false">
      <c r="A12" s="13" t="s">
        <v>63</v>
      </c>
      <c r="B12" s="13" t="s">
        <v>64</v>
      </c>
      <c r="C12" s="13" t="s">
        <v>65</v>
      </c>
      <c r="D12" s="13" t="s">
        <v>66</v>
      </c>
      <c r="E12" s="13" t="s">
        <v>67</v>
      </c>
      <c r="F12" s="13" t="s">
        <v>68</v>
      </c>
      <c r="G12" s="13" t="s">
        <v>69</v>
      </c>
      <c r="H12" s="13" t="s">
        <v>70</v>
      </c>
      <c r="I12" s="13" t="s">
        <v>71</v>
      </c>
    </row>
    <row r="13" customFormat="false" ht="30" hidden="false" customHeight="true" outlineLevel="0" collapsed="false">
      <c r="A13" s="7" t="s">
        <v>72</v>
      </c>
      <c r="B13" s="7" t="s">
        <v>73</v>
      </c>
      <c r="C13" s="7" t="s">
        <v>74</v>
      </c>
      <c r="D13" s="7" t="s">
        <v>75</v>
      </c>
      <c r="E13" s="7" t="s">
        <v>76</v>
      </c>
      <c r="F13" s="7" t="s">
        <v>77</v>
      </c>
      <c r="G13" s="7" t="n">
        <v>1</v>
      </c>
      <c r="H13" s="7" t="s">
        <v>78</v>
      </c>
      <c r="I13" s="7" t="s">
        <v>79</v>
      </c>
    </row>
    <row r="14" customFormat="false" ht="30" hidden="false" customHeight="true" outlineLevel="0" collapsed="false">
      <c r="A14" s="7" t="s">
        <v>80</v>
      </c>
      <c r="B14" s="7" t="s">
        <v>81</v>
      </c>
      <c r="C14" s="7" t="s">
        <v>82</v>
      </c>
      <c r="D14" s="7" t="s">
        <v>83</v>
      </c>
      <c r="E14" s="7" t="s">
        <v>84</v>
      </c>
      <c r="F14" s="7" t="s">
        <v>85</v>
      </c>
      <c r="G14" s="7" t="n">
        <v>1</v>
      </c>
      <c r="H14" s="7" t="s">
        <v>78</v>
      </c>
      <c r="I14" s="7" t="s">
        <v>86</v>
      </c>
    </row>
    <row r="15" customFormat="false" ht="30" hidden="false" customHeight="true" outlineLevel="0" collapsed="false">
      <c r="A15" s="7" t="s">
        <v>87</v>
      </c>
      <c r="B15" s="7" t="s">
        <v>88</v>
      </c>
      <c r="C15" s="7" t="s">
        <v>89</v>
      </c>
      <c r="D15" s="7" t="s">
        <v>90</v>
      </c>
      <c r="E15" s="7" t="s">
        <v>91</v>
      </c>
      <c r="F15" s="7" t="s">
        <v>92</v>
      </c>
      <c r="G15" s="7" t="n">
        <v>1</v>
      </c>
      <c r="H15" s="7" t="s">
        <v>78</v>
      </c>
      <c r="I15" s="7" t="s">
        <v>93</v>
      </c>
    </row>
    <row r="16" customFormat="false" ht="30" hidden="false" customHeight="true" outlineLevel="0" collapsed="false">
      <c r="A16" s="7" t="s">
        <v>94</v>
      </c>
      <c r="B16" s="7" t="s">
        <v>95</v>
      </c>
      <c r="C16" s="7" t="s">
        <v>96</v>
      </c>
      <c r="D16" s="7" t="s">
        <v>97</v>
      </c>
      <c r="E16" s="7" t="s">
        <v>98</v>
      </c>
      <c r="F16" s="7" t="s">
        <v>99</v>
      </c>
      <c r="G16" s="7" t="n">
        <v>1</v>
      </c>
      <c r="H16" s="7" t="s">
        <v>78</v>
      </c>
      <c r="I16" s="7" t="s">
        <v>100</v>
      </c>
    </row>
    <row r="17" customFormat="false" ht="30" hidden="false" customHeight="true" outlineLevel="0" collapsed="false">
      <c r="A17" s="7" t="s">
        <v>101</v>
      </c>
      <c r="B17" s="7" t="s">
        <v>102</v>
      </c>
      <c r="C17" s="7" t="s">
        <v>103</v>
      </c>
      <c r="D17" s="7" t="s">
        <v>104</v>
      </c>
      <c r="E17" s="7" t="s">
        <v>105</v>
      </c>
      <c r="F17" s="7" t="s">
        <v>106</v>
      </c>
      <c r="G17" s="7" t="n">
        <v>1</v>
      </c>
      <c r="H17" s="7" t="s">
        <v>78</v>
      </c>
      <c r="I17" s="7" t="s">
        <v>107</v>
      </c>
    </row>
    <row r="18" customFormat="false" ht="30" hidden="false" customHeight="true" outlineLevel="0" collapsed="false">
      <c r="A18" s="7" t="s">
        <v>108</v>
      </c>
      <c r="B18" s="7" t="s">
        <v>109</v>
      </c>
      <c r="C18" s="7" t="s">
        <v>110</v>
      </c>
      <c r="D18" s="7" t="s">
        <v>111</v>
      </c>
      <c r="E18" s="7" t="s">
        <v>91</v>
      </c>
      <c r="F18" s="7" t="s">
        <v>112</v>
      </c>
      <c r="G18" s="7" t="n">
        <v>1</v>
      </c>
      <c r="H18" s="7" t="s">
        <v>78</v>
      </c>
      <c r="I18" s="7" t="s">
        <v>113</v>
      </c>
    </row>
    <row r="19" customFormat="false" ht="30" hidden="false" customHeight="true" outlineLevel="0" collapsed="false">
      <c r="A19" s="7" t="s">
        <v>114</v>
      </c>
      <c r="B19" s="7" t="s">
        <v>115</v>
      </c>
      <c r="C19" s="7" t="s">
        <v>116</v>
      </c>
      <c r="D19" s="7" t="s">
        <v>90</v>
      </c>
      <c r="E19" s="7" t="s">
        <v>117</v>
      </c>
      <c r="F19" s="7" t="s">
        <v>118</v>
      </c>
      <c r="G19" s="7" t="n">
        <v>2</v>
      </c>
      <c r="H19" s="7" t="s">
        <v>78</v>
      </c>
      <c r="I19" s="7" t="s">
        <v>119</v>
      </c>
    </row>
    <row r="20" customFormat="false" ht="30" hidden="false" customHeight="true" outlineLevel="0" collapsed="false">
      <c r="A20" s="7" t="s">
        <v>120</v>
      </c>
      <c r="B20" s="7" t="s">
        <v>121</v>
      </c>
      <c r="C20" s="7" t="s">
        <v>122</v>
      </c>
      <c r="D20" s="7" t="s">
        <v>97</v>
      </c>
      <c r="E20" s="7" t="s">
        <v>123</v>
      </c>
      <c r="F20" s="7" t="s">
        <v>124</v>
      </c>
      <c r="G20" s="7" t="n">
        <v>2</v>
      </c>
      <c r="H20" s="7" t="s">
        <v>78</v>
      </c>
      <c r="I20" s="7" t="s">
        <v>125</v>
      </c>
    </row>
    <row r="21" customFormat="false" ht="30" hidden="false" customHeight="true" outlineLevel="0" collapsed="false">
      <c r="A21" s="7" t="s">
        <v>126</v>
      </c>
      <c r="B21" s="7" t="s">
        <v>127</v>
      </c>
      <c r="C21" s="7" t="s">
        <v>128</v>
      </c>
      <c r="D21" s="7" t="s">
        <v>129</v>
      </c>
      <c r="E21" s="7" t="s">
        <v>130</v>
      </c>
      <c r="F21" s="7" t="s">
        <v>131</v>
      </c>
      <c r="G21" s="7" t="n">
        <v>2</v>
      </c>
      <c r="H21" s="7" t="s">
        <v>78</v>
      </c>
      <c r="I21" s="7" t="s">
        <v>132</v>
      </c>
    </row>
    <row r="22" customFormat="false" ht="30" hidden="false" customHeight="true" outlineLevel="0" collapsed="false">
      <c r="A22" s="7" t="s">
        <v>133</v>
      </c>
      <c r="B22" s="7" t="s">
        <v>134</v>
      </c>
      <c r="C22" s="7" t="s">
        <v>135</v>
      </c>
      <c r="D22" s="7" t="s">
        <v>136</v>
      </c>
      <c r="E22" s="7" t="s">
        <v>137</v>
      </c>
      <c r="F22" s="7" t="s">
        <v>138</v>
      </c>
      <c r="G22" s="7" t="n">
        <v>2</v>
      </c>
      <c r="H22" s="7" t="s">
        <v>78</v>
      </c>
      <c r="I22" s="7" t="s">
        <v>139</v>
      </c>
    </row>
    <row r="23" customFormat="false" ht="30" hidden="false" customHeight="true" outlineLevel="0" collapsed="false">
      <c r="A23" s="7" t="s">
        <v>140</v>
      </c>
      <c r="B23" s="7" t="s">
        <v>141</v>
      </c>
      <c r="C23" s="7" t="s">
        <v>142</v>
      </c>
      <c r="D23" s="7" t="s">
        <v>143</v>
      </c>
      <c r="E23" s="7" t="s">
        <v>144</v>
      </c>
      <c r="F23" s="7" t="s">
        <v>145</v>
      </c>
      <c r="G23" s="7" t="n">
        <v>2</v>
      </c>
      <c r="H23" s="7" t="s">
        <v>78</v>
      </c>
      <c r="I23" s="7" t="s">
        <v>146</v>
      </c>
    </row>
    <row r="24" customFormat="false" ht="30" hidden="false" customHeight="true" outlineLevel="0" collapsed="false">
      <c r="A24" s="7" t="s">
        <v>147</v>
      </c>
      <c r="B24" s="7" t="s">
        <v>148</v>
      </c>
      <c r="C24" s="7" t="s">
        <v>149</v>
      </c>
      <c r="D24" s="7" t="s">
        <v>150</v>
      </c>
      <c r="E24" s="7" t="s">
        <v>151</v>
      </c>
      <c r="F24" s="7" t="s">
        <v>152</v>
      </c>
      <c r="G24" s="7" t="n">
        <v>2</v>
      </c>
      <c r="H24" s="7" t="s">
        <v>78</v>
      </c>
      <c r="I24" s="7" t="s">
        <v>153</v>
      </c>
    </row>
    <row r="25" customFormat="false" ht="30" hidden="false" customHeight="true" outlineLevel="0" collapsed="false">
      <c r="A25" s="7" t="s">
        <v>154</v>
      </c>
      <c r="B25" s="7" t="s">
        <v>155</v>
      </c>
      <c r="C25" s="7" t="s">
        <v>156</v>
      </c>
      <c r="D25" s="7" t="s">
        <v>83</v>
      </c>
      <c r="E25" s="7" t="s">
        <v>157</v>
      </c>
      <c r="F25" s="7" t="s">
        <v>158</v>
      </c>
      <c r="G25" s="7" t="n">
        <v>2</v>
      </c>
      <c r="H25" s="7" t="s">
        <v>78</v>
      </c>
      <c r="I25" s="7" t="s">
        <v>159</v>
      </c>
    </row>
    <row r="26" customFormat="false" ht="30" hidden="false" customHeight="true" outlineLevel="0" collapsed="false">
      <c r="A26" s="7" t="s">
        <v>160</v>
      </c>
      <c r="B26" s="7" t="s">
        <v>161</v>
      </c>
      <c r="C26" s="7" t="s">
        <v>162</v>
      </c>
      <c r="D26" s="7" t="s">
        <v>111</v>
      </c>
      <c r="E26" s="7" t="s">
        <v>157</v>
      </c>
      <c r="F26" s="7" t="s">
        <v>163</v>
      </c>
      <c r="G26" s="7" t="n">
        <v>2</v>
      </c>
      <c r="H26" s="7" t="s">
        <v>78</v>
      </c>
      <c r="I26" s="7" t="s">
        <v>164</v>
      </c>
    </row>
    <row r="27" customFormat="false" ht="30" hidden="false" customHeight="true" outlineLevel="0" collapsed="false">
      <c r="A27" s="7" t="s">
        <v>165</v>
      </c>
      <c r="B27" s="7" t="s">
        <v>166</v>
      </c>
      <c r="C27" s="7" t="s">
        <v>167</v>
      </c>
      <c r="D27" s="7" t="s">
        <v>97</v>
      </c>
      <c r="E27" s="7" t="s">
        <v>168</v>
      </c>
      <c r="F27" s="7" t="s">
        <v>169</v>
      </c>
      <c r="G27" s="7" t="n">
        <v>2</v>
      </c>
      <c r="H27" s="7" t="s">
        <v>78</v>
      </c>
      <c r="I27" s="7" t="s">
        <v>170</v>
      </c>
    </row>
    <row r="28" customFormat="false" ht="30" hidden="false" customHeight="true" outlineLevel="0" collapsed="false">
      <c r="A28" s="7" t="s">
        <v>171</v>
      </c>
      <c r="B28" s="7" t="s">
        <v>172</v>
      </c>
      <c r="C28" s="7" t="s">
        <v>173</v>
      </c>
      <c r="D28" s="7" t="s">
        <v>75</v>
      </c>
      <c r="E28" s="7" t="s">
        <v>76</v>
      </c>
      <c r="F28" s="7" t="s">
        <v>174</v>
      </c>
      <c r="G28" s="7" t="n">
        <v>3</v>
      </c>
      <c r="H28" s="7" t="s">
        <v>78</v>
      </c>
      <c r="I28" s="7" t="s">
        <v>175</v>
      </c>
    </row>
    <row r="29" customFormat="false" ht="30" hidden="false" customHeight="true" outlineLevel="0" collapsed="false">
      <c r="A29" s="7" t="s">
        <v>176</v>
      </c>
      <c r="B29" s="7" t="s">
        <v>177</v>
      </c>
      <c r="C29" s="7" t="s">
        <v>178</v>
      </c>
      <c r="D29" s="7" t="s">
        <v>179</v>
      </c>
      <c r="E29" s="7" t="s">
        <v>180</v>
      </c>
      <c r="F29" s="7" t="s">
        <v>181</v>
      </c>
      <c r="G29" s="7" t="n">
        <v>3</v>
      </c>
      <c r="H29" s="7" t="s">
        <v>78</v>
      </c>
      <c r="I29" s="7" t="s">
        <v>182</v>
      </c>
    </row>
    <row r="30" customFormat="false" ht="30" hidden="false" customHeight="true" outlineLevel="0" collapsed="false">
      <c r="A30" s="7" t="s">
        <v>183</v>
      </c>
      <c r="B30" s="7" t="s">
        <v>184</v>
      </c>
      <c r="C30" s="7" t="s">
        <v>185</v>
      </c>
      <c r="D30" s="7" t="s">
        <v>97</v>
      </c>
      <c r="E30" s="7" t="s">
        <v>186</v>
      </c>
      <c r="F30" s="7" t="s">
        <v>187</v>
      </c>
      <c r="G30" s="7" t="n">
        <v>3</v>
      </c>
      <c r="H30" s="7" t="s">
        <v>78</v>
      </c>
      <c r="I30" s="7" t="s">
        <v>188</v>
      </c>
    </row>
    <row r="31" customFormat="false" ht="30" hidden="false" customHeight="true" outlineLevel="0" collapsed="false">
      <c r="A31" s="7" t="s">
        <v>189</v>
      </c>
      <c r="B31" s="7" t="s">
        <v>190</v>
      </c>
      <c r="C31" s="7" t="s">
        <v>191</v>
      </c>
      <c r="D31" s="7" t="s">
        <v>97</v>
      </c>
      <c r="E31" s="7" t="s">
        <v>192</v>
      </c>
      <c r="F31" s="7" t="s">
        <v>193</v>
      </c>
      <c r="G31" s="7" t="n">
        <v>3</v>
      </c>
      <c r="H31" s="7" t="s">
        <v>78</v>
      </c>
      <c r="I31" s="7" t="s">
        <v>194</v>
      </c>
    </row>
    <row r="32" customFormat="false" ht="30" hidden="false" customHeight="true" outlineLevel="0" collapsed="false">
      <c r="A32" s="7" t="s">
        <v>195</v>
      </c>
      <c r="B32" s="7" t="s">
        <v>196</v>
      </c>
      <c r="C32" s="7" t="s">
        <v>197</v>
      </c>
      <c r="D32" s="7" t="s">
        <v>143</v>
      </c>
      <c r="E32" s="7" t="s">
        <v>198</v>
      </c>
      <c r="F32" s="7" t="s">
        <v>199</v>
      </c>
      <c r="G32" s="7" t="n">
        <v>3</v>
      </c>
      <c r="H32" s="7" t="s">
        <v>78</v>
      </c>
      <c r="I32" s="7" t="s">
        <v>200</v>
      </c>
    </row>
    <row r="33" customFormat="false" ht="30" hidden="false" customHeight="true" outlineLevel="0" collapsed="false">
      <c r="A33" s="7" t="s">
        <v>201</v>
      </c>
      <c r="B33" s="7" t="s">
        <v>202</v>
      </c>
      <c r="C33" s="7" t="s">
        <v>203</v>
      </c>
      <c r="D33" s="7" t="s">
        <v>97</v>
      </c>
      <c r="E33" s="7" t="s">
        <v>204</v>
      </c>
      <c r="F33" s="7" t="s">
        <v>205</v>
      </c>
      <c r="G33" s="7" t="n">
        <v>3</v>
      </c>
      <c r="H33" s="7" t="s">
        <v>78</v>
      </c>
      <c r="I33" s="7" t="s">
        <v>206</v>
      </c>
    </row>
    <row r="34" customFormat="false" ht="30" hidden="false" customHeight="true" outlineLevel="0" collapsed="false">
      <c r="A34" s="7" t="s">
        <v>207</v>
      </c>
      <c r="B34" s="7" t="s">
        <v>208</v>
      </c>
      <c r="C34" s="7" t="s">
        <v>209</v>
      </c>
      <c r="D34" s="7" t="s">
        <v>136</v>
      </c>
      <c r="E34" s="7" t="s">
        <v>210</v>
      </c>
      <c r="F34" s="7" t="s">
        <v>211</v>
      </c>
      <c r="G34" s="7" t="n">
        <v>3</v>
      </c>
      <c r="H34" s="7" t="s">
        <v>78</v>
      </c>
      <c r="I34" s="7" t="s">
        <v>212</v>
      </c>
    </row>
    <row r="35" customFormat="false" ht="30" hidden="false" customHeight="true" outlineLevel="0" collapsed="false">
      <c r="A35" s="7" t="s">
        <v>213</v>
      </c>
      <c r="B35" s="7" t="s">
        <v>214</v>
      </c>
      <c r="C35" s="7" t="s">
        <v>215</v>
      </c>
      <c r="D35" s="7" t="s">
        <v>143</v>
      </c>
      <c r="E35" s="7" t="s">
        <v>144</v>
      </c>
      <c r="F35" s="7" t="s">
        <v>216</v>
      </c>
      <c r="G35" s="7" t="n">
        <v>3</v>
      </c>
      <c r="H35" s="7" t="s">
        <v>78</v>
      </c>
      <c r="I35" s="7" t="s">
        <v>217</v>
      </c>
    </row>
    <row r="36" customFormat="false" ht="30" hidden="false" customHeight="true" outlineLevel="0" collapsed="false">
      <c r="A36" s="7" t="s">
        <v>218</v>
      </c>
      <c r="B36" s="7" t="s">
        <v>219</v>
      </c>
      <c r="C36" s="7" t="s">
        <v>220</v>
      </c>
      <c r="D36" s="7" t="s">
        <v>104</v>
      </c>
      <c r="E36" s="7" t="s">
        <v>221</v>
      </c>
      <c r="F36" s="7" t="s">
        <v>222</v>
      </c>
      <c r="G36" s="7" t="n">
        <v>3</v>
      </c>
      <c r="H36" s="7" t="s">
        <v>223</v>
      </c>
      <c r="I36" s="7" t="s">
        <v>224</v>
      </c>
    </row>
    <row r="37" customFormat="false" ht="30" hidden="false" customHeight="true" outlineLevel="0" collapsed="false">
      <c r="A37" s="7" t="s">
        <v>225</v>
      </c>
      <c r="B37" s="7" t="s">
        <v>226</v>
      </c>
      <c r="C37" s="7" t="s">
        <v>227</v>
      </c>
      <c r="D37" s="7" t="s">
        <v>228</v>
      </c>
      <c r="E37" s="7" t="s">
        <v>229</v>
      </c>
      <c r="F37" s="7" t="s">
        <v>230</v>
      </c>
      <c r="G37" s="7" t="n">
        <v>4</v>
      </c>
      <c r="H37" s="7" t="s">
        <v>78</v>
      </c>
      <c r="I37" s="7" t="s">
        <v>231</v>
      </c>
    </row>
    <row r="38" customFormat="false" ht="30" hidden="false" customHeight="true" outlineLevel="0" collapsed="false">
      <c r="A38" s="7" t="s">
        <v>232</v>
      </c>
      <c r="B38" s="7" t="s">
        <v>233</v>
      </c>
      <c r="C38" s="7" t="s">
        <v>234</v>
      </c>
      <c r="D38" s="7" t="s">
        <v>228</v>
      </c>
      <c r="E38" s="7" t="s">
        <v>91</v>
      </c>
      <c r="F38" s="7" t="s">
        <v>235</v>
      </c>
      <c r="G38" s="7" t="n">
        <v>4</v>
      </c>
      <c r="H38" s="7" t="s">
        <v>78</v>
      </c>
      <c r="I38" s="7" t="s">
        <v>236</v>
      </c>
    </row>
    <row r="39" customFormat="false" ht="30" hidden="false" customHeight="true" outlineLevel="0" collapsed="false">
      <c r="A39" s="7" t="s">
        <v>237</v>
      </c>
      <c r="B39" s="7" t="s">
        <v>238</v>
      </c>
      <c r="C39" s="7" t="s">
        <v>239</v>
      </c>
      <c r="D39" s="7" t="s">
        <v>240</v>
      </c>
      <c r="E39" s="7" t="s">
        <v>241</v>
      </c>
      <c r="F39" s="7" t="s">
        <v>242</v>
      </c>
      <c r="G39" s="7" t="n">
        <v>4</v>
      </c>
      <c r="H39" s="7" t="s">
        <v>78</v>
      </c>
      <c r="I39" s="7" t="s">
        <v>243</v>
      </c>
    </row>
    <row r="40" customFormat="false" ht="30" hidden="false" customHeight="true" outlineLevel="0" collapsed="false">
      <c r="A40" s="7" t="s">
        <v>244</v>
      </c>
      <c r="B40" s="7" t="s">
        <v>245</v>
      </c>
      <c r="C40" s="7" t="s">
        <v>246</v>
      </c>
      <c r="D40" s="7" t="s">
        <v>150</v>
      </c>
      <c r="E40" s="7" t="s">
        <v>247</v>
      </c>
      <c r="F40" s="7" t="s">
        <v>248</v>
      </c>
      <c r="G40" s="7" t="n">
        <v>4</v>
      </c>
      <c r="H40" s="7" t="s">
        <v>78</v>
      </c>
      <c r="I40" s="7" t="s">
        <v>249</v>
      </c>
    </row>
    <row r="41" customFormat="false" ht="30" hidden="false" customHeight="true" outlineLevel="0" collapsed="false">
      <c r="A41" s="7" t="s">
        <v>250</v>
      </c>
      <c r="B41" s="7" t="s">
        <v>251</v>
      </c>
      <c r="C41" s="7" t="s">
        <v>252</v>
      </c>
      <c r="D41" s="7" t="s">
        <v>150</v>
      </c>
      <c r="E41" s="7" t="s">
        <v>253</v>
      </c>
      <c r="F41" s="7" t="s">
        <v>254</v>
      </c>
      <c r="G41" s="7" t="n">
        <v>4</v>
      </c>
      <c r="H41" s="7" t="s">
        <v>78</v>
      </c>
      <c r="I41" s="7" t="s">
        <v>255</v>
      </c>
    </row>
  </sheetData>
  <mergeCells count="7">
    <mergeCell ref="A1:I1"/>
    <mergeCell ref="A2:I2"/>
    <mergeCell ref="A4:I4"/>
    <mergeCell ref="A5:I5"/>
    <mergeCell ref="A6:I6"/>
    <mergeCell ref="A7:I7"/>
    <mergeCell ref="A8:I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J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8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56"/>
  </cols>
  <sheetData>
    <row r="1" customFormat="false" ht="30" hidden="false" customHeight="true" outlineLevel="0" collapsed="false">
      <c r="A1" s="1" t="s">
        <v>256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257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3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3.5" hidden="false" customHeight="true" outlineLevel="0" collapsed="false">
      <c r="A5" s="4" t="s">
        <v>258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3.5" hidden="false" customHeight="true" outlineLevel="0" collapsed="false">
      <c r="A6" s="4" t="s">
        <v>259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3.5" hidden="false" customHeight="true" outlineLevel="0" collapsed="false">
      <c r="A7" s="4" t="s">
        <v>260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3.5" hidden="false" customHeight="true" outlineLevel="0" collapsed="false">
      <c r="A8" s="4" t="s">
        <v>261</v>
      </c>
      <c r="B8" s="4"/>
      <c r="C8" s="4"/>
      <c r="D8" s="4"/>
      <c r="E8" s="4"/>
      <c r="F8" s="4"/>
      <c r="G8" s="4"/>
      <c r="H8" s="4"/>
      <c r="I8" s="4"/>
      <c r="J8" s="4"/>
    </row>
    <row r="9" customFormat="false" ht="13.5" hidden="false" customHeight="true" outlineLevel="0" collapsed="false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</row>
    <row r="11" customFormat="false" ht="15" hidden="false" customHeight="false" outlineLevel="0" collapsed="false">
      <c r="A11" s="11" t="s">
        <v>53</v>
      </c>
    </row>
    <row r="12" customFormat="false" ht="51.75" hidden="false" customHeight="true" outlineLevel="0" collapsed="false">
      <c r="A12" s="12" t="s">
        <v>263</v>
      </c>
      <c r="B12" s="12" t="s">
        <v>264</v>
      </c>
      <c r="C12" s="12" t="s">
        <v>265</v>
      </c>
      <c r="D12" s="12" t="s">
        <v>266</v>
      </c>
      <c r="E12" s="12" t="s">
        <v>267</v>
      </c>
      <c r="F12" s="12" t="s">
        <v>268</v>
      </c>
      <c r="G12" s="12" t="s">
        <v>269</v>
      </c>
      <c r="H12" s="12" t="s">
        <v>270</v>
      </c>
      <c r="I12" s="12" t="s">
        <v>61</v>
      </c>
      <c r="J12" s="12" t="s">
        <v>271</v>
      </c>
    </row>
    <row r="13" customFormat="false" ht="25.5" hidden="false" customHeight="true" outlineLevel="0" collapsed="false">
      <c r="A13" s="13" t="s">
        <v>272</v>
      </c>
      <c r="B13" s="13" t="s">
        <v>63</v>
      </c>
      <c r="C13" s="13" t="s">
        <v>64</v>
      </c>
      <c r="D13" s="13" t="s">
        <v>273</v>
      </c>
      <c r="E13" s="13" t="s">
        <v>65</v>
      </c>
      <c r="F13" s="13" t="s">
        <v>274</v>
      </c>
      <c r="G13" s="13" t="s">
        <v>68</v>
      </c>
      <c r="H13" s="13" t="s">
        <v>69</v>
      </c>
      <c r="I13" s="13" t="s">
        <v>70</v>
      </c>
      <c r="J13" s="13" t="s">
        <v>71</v>
      </c>
    </row>
    <row r="14" customFormat="false" ht="27.75" hidden="false" customHeight="true" outlineLevel="0" collapsed="false">
      <c r="A14" s="7" t="s">
        <v>275</v>
      </c>
      <c r="B14" s="7" t="s">
        <v>72</v>
      </c>
      <c r="C14" s="7" t="s">
        <v>73</v>
      </c>
      <c r="D14" s="7" t="s">
        <v>276</v>
      </c>
      <c r="E14" s="7" t="s">
        <v>277</v>
      </c>
      <c r="F14" s="7" t="s">
        <v>278</v>
      </c>
      <c r="G14" s="7"/>
      <c r="H14" s="7" t="n">
        <v>1</v>
      </c>
      <c r="I14" s="7" t="s">
        <v>78</v>
      </c>
      <c r="J14" s="7" t="s">
        <v>279</v>
      </c>
    </row>
    <row r="15" customFormat="false" ht="27.75" hidden="false" customHeight="true" outlineLevel="0" collapsed="false">
      <c r="A15" s="7" t="s">
        <v>280</v>
      </c>
      <c r="B15" s="7" t="s">
        <v>72</v>
      </c>
      <c r="C15" s="7" t="s">
        <v>73</v>
      </c>
      <c r="D15" s="7" t="s">
        <v>281</v>
      </c>
      <c r="E15" s="7" t="s">
        <v>282</v>
      </c>
      <c r="F15" s="7" t="s">
        <v>278</v>
      </c>
      <c r="G15" s="7"/>
      <c r="H15" s="7" t="n">
        <v>1</v>
      </c>
      <c r="I15" s="7" t="s">
        <v>78</v>
      </c>
      <c r="J15" s="7" t="s">
        <v>283</v>
      </c>
    </row>
    <row r="16" customFormat="false" ht="27.75" hidden="false" customHeight="true" outlineLevel="0" collapsed="false">
      <c r="A16" s="7" t="s">
        <v>284</v>
      </c>
      <c r="B16" s="7" t="s">
        <v>72</v>
      </c>
      <c r="C16" s="7" t="s">
        <v>73</v>
      </c>
      <c r="D16" s="7" t="s">
        <v>285</v>
      </c>
      <c r="E16" s="7" t="s">
        <v>286</v>
      </c>
      <c r="F16" s="7" t="s">
        <v>278</v>
      </c>
      <c r="G16" s="7"/>
      <c r="H16" s="7" t="n">
        <v>1</v>
      </c>
      <c r="I16" s="7" t="s">
        <v>78</v>
      </c>
      <c r="J16" s="7" t="s">
        <v>287</v>
      </c>
    </row>
    <row r="17" customFormat="false" ht="27.75" hidden="false" customHeight="true" outlineLevel="0" collapsed="false">
      <c r="A17" s="7" t="s">
        <v>288</v>
      </c>
      <c r="B17" s="7" t="s">
        <v>72</v>
      </c>
      <c r="C17" s="7" t="s">
        <v>73</v>
      </c>
      <c r="D17" s="7" t="s">
        <v>289</v>
      </c>
      <c r="E17" s="7" t="s">
        <v>290</v>
      </c>
      <c r="F17" s="7" t="s">
        <v>278</v>
      </c>
      <c r="G17" s="7"/>
      <c r="H17" s="7" t="n">
        <v>2</v>
      </c>
      <c r="I17" s="7" t="s">
        <v>78</v>
      </c>
      <c r="J17" s="7" t="s">
        <v>291</v>
      </c>
    </row>
    <row r="18" customFormat="false" ht="27.75" hidden="false" customHeight="true" outlineLevel="0" collapsed="false">
      <c r="A18" s="7" t="s">
        <v>292</v>
      </c>
      <c r="B18" s="7" t="s">
        <v>72</v>
      </c>
      <c r="C18" s="7" t="s">
        <v>73</v>
      </c>
      <c r="D18" s="7" t="s">
        <v>293</v>
      </c>
      <c r="E18" s="7" t="s">
        <v>294</v>
      </c>
      <c r="F18" s="7" t="s">
        <v>278</v>
      </c>
      <c r="G18" s="7"/>
      <c r="H18" s="7" t="n">
        <v>3</v>
      </c>
      <c r="I18" s="7" t="s">
        <v>78</v>
      </c>
      <c r="J18" s="7" t="s">
        <v>295</v>
      </c>
    </row>
    <row r="19" customFormat="false" ht="27.75" hidden="false" customHeight="true" outlineLevel="0" collapsed="false">
      <c r="A19" s="7" t="s">
        <v>296</v>
      </c>
      <c r="B19" s="7" t="s">
        <v>80</v>
      </c>
      <c r="C19" s="7" t="s">
        <v>81</v>
      </c>
      <c r="D19" s="7" t="s">
        <v>297</v>
      </c>
      <c r="E19" s="7" t="s">
        <v>298</v>
      </c>
      <c r="F19" s="7" t="s">
        <v>278</v>
      </c>
      <c r="G19" s="7" t="s">
        <v>299</v>
      </c>
      <c r="H19" s="7" t="n">
        <v>1</v>
      </c>
      <c r="I19" s="7" t="s">
        <v>78</v>
      </c>
      <c r="J19" s="7" t="s">
        <v>300</v>
      </c>
    </row>
    <row r="20" customFormat="false" ht="27.75" hidden="false" customHeight="true" outlineLevel="0" collapsed="false">
      <c r="A20" s="7" t="s">
        <v>301</v>
      </c>
      <c r="B20" s="7" t="s">
        <v>80</v>
      </c>
      <c r="C20" s="7" t="s">
        <v>81</v>
      </c>
      <c r="D20" s="7" t="s">
        <v>302</v>
      </c>
      <c r="E20" s="7" t="s">
        <v>303</v>
      </c>
      <c r="F20" s="7" t="s">
        <v>278</v>
      </c>
      <c r="G20" s="7"/>
      <c r="H20" s="7" t="n">
        <v>1</v>
      </c>
      <c r="I20" s="7" t="s">
        <v>78</v>
      </c>
      <c r="J20" s="7" t="s">
        <v>304</v>
      </c>
    </row>
    <row r="21" customFormat="false" ht="27.75" hidden="false" customHeight="true" outlineLevel="0" collapsed="false">
      <c r="A21" s="7" t="s">
        <v>305</v>
      </c>
      <c r="B21" s="7" t="s">
        <v>80</v>
      </c>
      <c r="C21" s="7" t="s">
        <v>81</v>
      </c>
      <c r="D21" s="7" t="s">
        <v>306</v>
      </c>
      <c r="E21" s="7" t="s">
        <v>307</v>
      </c>
      <c r="F21" s="7" t="s">
        <v>278</v>
      </c>
      <c r="G21" s="7"/>
      <c r="H21" s="7" t="n">
        <v>1</v>
      </c>
      <c r="I21" s="7" t="s">
        <v>78</v>
      </c>
      <c r="J21" s="7" t="s">
        <v>308</v>
      </c>
    </row>
    <row r="22" customFormat="false" ht="27.75" hidden="false" customHeight="true" outlineLevel="0" collapsed="false">
      <c r="A22" s="7" t="s">
        <v>309</v>
      </c>
      <c r="B22" s="7" t="s">
        <v>80</v>
      </c>
      <c r="C22" s="7" t="s">
        <v>81</v>
      </c>
      <c r="D22" s="7" t="s">
        <v>310</v>
      </c>
      <c r="E22" s="7" t="s">
        <v>311</v>
      </c>
      <c r="F22" s="7" t="s">
        <v>278</v>
      </c>
      <c r="G22" s="7"/>
      <c r="H22" s="7" t="n">
        <v>2</v>
      </c>
      <c r="I22" s="7" t="s">
        <v>78</v>
      </c>
      <c r="J22" s="7" t="s">
        <v>312</v>
      </c>
    </row>
    <row r="23" customFormat="false" ht="27.75" hidden="false" customHeight="true" outlineLevel="0" collapsed="false">
      <c r="A23" s="7" t="s">
        <v>313</v>
      </c>
      <c r="B23" s="7" t="s">
        <v>80</v>
      </c>
      <c r="C23" s="7" t="s">
        <v>81</v>
      </c>
      <c r="D23" s="7" t="s">
        <v>314</v>
      </c>
      <c r="E23" s="7" t="s">
        <v>315</v>
      </c>
      <c r="F23" s="7" t="s">
        <v>278</v>
      </c>
      <c r="G23" s="7" t="s">
        <v>316</v>
      </c>
      <c r="H23" s="7" t="n">
        <v>2</v>
      </c>
      <c r="I23" s="7" t="s">
        <v>78</v>
      </c>
      <c r="J23" s="7" t="s">
        <v>317</v>
      </c>
    </row>
    <row r="24" customFormat="false" ht="27.75" hidden="false" customHeight="true" outlineLevel="0" collapsed="false">
      <c r="A24" s="7" t="s">
        <v>318</v>
      </c>
      <c r="B24" s="7" t="s">
        <v>80</v>
      </c>
      <c r="C24" s="7" t="s">
        <v>81</v>
      </c>
      <c r="D24" s="7" t="s">
        <v>319</v>
      </c>
      <c r="E24" s="7" t="s">
        <v>320</v>
      </c>
      <c r="F24" s="7" t="s">
        <v>278</v>
      </c>
      <c r="G24" s="7"/>
      <c r="H24" s="7" t="n">
        <v>3</v>
      </c>
      <c r="I24" s="7" t="s">
        <v>78</v>
      </c>
      <c r="J24" s="7" t="s">
        <v>321</v>
      </c>
    </row>
    <row r="25" customFormat="false" ht="27.75" hidden="false" customHeight="true" outlineLevel="0" collapsed="false">
      <c r="A25" s="7" t="s">
        <v>322</v>
      </c>
      <c r="B25" s="7" t="s">
        <v>87</v>
      </c>
      <c r="C25" s="7" t="s">
        <v>88</v>
      </c>
      <c r="D25" s="7" t="s">
        <v>323</v>
      </c>
      <c r="E25" s="7" t="s">
        <v>324</v>
      </c>
      <c r="F25" s="7" t="s">
        <v>278</v>
      </c>
      <c r="G25" s="7" t="s">
        <v>325</v>
      </c>
      <c r="H25" s="7" t="n">
        <v>1</v>
      </c>
      <c r="I25" s="7" t="s">
        <v>78</v>
      </c>
      <c r="J25" s="7" t="s">
        <v>326</v>
      </c>
    </row>
    <row r="26" customFormat="false" ht="27.75" hidden="false" customHeight="true" outlineLevel="0" collapsed="false">
      <c r="A26" s="7" t="s">
        <v>327</v>
      </c>
      <c r="B26" s="7" t="s">
        <v>87</v>
      </c>
      <c r="C26" s="7" t="s">
        <v>88</v>
      </c>
      <c r="D26" s="7" t="s">
        <v>328</v>
      </c>
      <c r="E26" s="7" t="s">
        <v>329</v>
      </c>
      <c r="F26" s="7" t="s">
        <v>278</v>
      </c>
      <c r="G26" s="7"/>
      <c r="H26" s="7" t="n">
        <v>1</v>
      </c>
      <c r="I26" s="7" t="s">
        <v>78</v>
      </c>
      <c r="J26" s="7" t="s">
        <v>330</v>
      </c>
    </row>
    <row r="27" customFormat="false" ht="27.75" hidden="false" customHeight="true" outlineLevel="0" collapsed="false">
      <c r="A27" s="7" t="s">
        <v>331</v>
      </c>
      <c r="B27" s="7" t="s">
        <v>87</v>
      </c>
      <c r="C27" s="7" t="s">
        <v>88</v>
      </c>
      <c r="D27" s="7" t="s">
        <v>332</v>
      </c>
      <c r="E27" s="7" t="s">
        <v>333</v>
      </c>
      <c r="F27" s="7" t="s">
        <v>278</v>
      </c>
      <c r="G27" s="7"/>
      <c r="H27" s="7" t="n">
        <v>1</v>
      </c>
      <c r="I27" s="7" t="s">
        <v>78</v>
      </c>
      <c r="J27" s="7" t="s">
        <v>334</v>
      </c>
    </row>
    <row r="28" customFormat="false" ht="27.75" hidden="false" customHeight="true" outlineLevel="0" collapsed="false">
      <c r="A28" s="7" t="s">
        <v>335</v>
      </c>
      <c r="B28" s="7" t="s">
        <v>87</v>
      </c>
      <c r="C28" s="7" t="s">
        <v>88</v>
      </c>
      <c r="D28" s="7" t="s">
        <v>336</v>
      </c>
      <c r="E28" s="7" t="s">
        <v>337</v>
      </c>
      <c r="F28" s="7" t="s">
        <v>278</v>
      </c>
      <c r="G28" s="7"/>
      <c r="H28" s="7" t="n">
        <v>2</v>
      </c>
      <c r="I28" s="7" t="s">
        <v>78</v>
      </c>
      <c r="J28" s="7" t="s">
        <v>338</v>
      </c>
    </row>
    <row r="29" customFormat="false" ht="27.75" hidden="false" customHeight="true" outlineLevel="0" collapsed="false">
      <c r="A29" s="7" t="s">
        <v>339</v>
      </c>
      <c r="B29" s="7" t="s">
        <v>87</v>
      </c>
      <c r="C29" s="7" t="s">
        <v>88</v>
      </c>
      <c r="D29" s="7" t="s">
        <v>340</v>
      </c>
      <c r="E29" s="7" t="s">
        <v>341</v>
      </c>
      <c r="F29" s="7" t="s">
        <v>278</v>
      </c>
      <c r="G29" s="7" t="s">
        <v>342</v>
      </c>
      <c r="H29" s="7" t="n">
        <v>2</v>
      </c>
      <c r="I29" s="7" t="s">
        <v>78</v>
      </c>
      <c r="J29" s="7" t="s">
        <v>343</v>
      </c>
    </row>
    <row r="30" customFormat="false" ht="27.75" hidden="false" customHeight="true" outlineLevel="0" collapsed="false">
      <c r="A30" s="7" t="s">
        <v>344</v>
      </c>
      <c r="B30" s="7" t="s">
        <v>87</v>
      </c>
      <c r="C30" s="7" t="s">
        <v>88</v>
      </c>
      <c r="D30" s="7" t="s">
        <v>345</v>
      </c>
      <c r="E30" s="7" t="s">
        <v>346</v>
      </c>
      <c r="F30" s="7" t="s">
        <v>278</v>
      </c>
      <c r="G30" s="7"/>
      <c r="H30" s="7" t="n">
        <v>2</v>
      </c>
      <c r="I30" s="7" t="s">
        <v>78</v>
      </c>
      <c r="J30" s="7" t="s">
        <v>347</v>
      </c>
    </row>
    <row r="31" customFormat="false" ht="27.75" hidden="false" customHeight="true" outlineLevel="0" collapsed="false">
      <c r="A31" s="7" t="s">
        <v>348</v>
      </c>
      <c r="B31" s="7" t="s">
        <v>87</v>
      </c>
      <c r="C31" s="7" t="s">
        <v>88</v>
      </c>
      <c r="D31" s="7" t="s">
        <v>349</v>
      </c>
      <c r="E31" s="7" t="s">
        <v>350</v>
      </c>
      <c r="F31" s="7" t="s">
        <v>278</v>
      </c>
      <c r="G31" s="7"/>
      <c r="H31" s="7" t="n">
        <v>2</v>
      </c>
      <c r="I31" s="7" t="s">
        <v>78</v>
      </c>
      <c r="J31" s="7" t="s">
        <v>351</v>
      </c>
    </row>
    <row r="32" customFormat="false" ht="27.75" hidden="false" customHeight="true" outlineLevel="0" collapsed="false">
      <c r="A32" s="7" t="s">
        <v>352</v>
      </c>
      <c r="B32" s="7" t="s">
        <v>87</v>
      </c>
      <c r="C32" s="7" t="s">
        <v>88</v>
      </c>
      <c r="D32" s="7" t="s">
        <v>353</v>
      </c>
      <c r="E32" s="7" t="s">
        <v>354</v>
      </c>
      <c r="F32" s="7" t="s">
        <v>278</v>
      </c>
      <c r="G32" s="7"/>
      <c r="H32" s="7" t="n">
        <v>3</v>
      </c>
      <c r="I32" s="7" t="s">
        <v>78</v>
      </c>
      <c r="J32" s="7" t="s">
        <v>355</v>
      </c>
    </row>
    <row r="33" customFormat="false" ht="27.75" hidden="false" customHeight="true" outlineLevel="0" collapsed="false">
      <c r="A33" s="7" t="s">
        <v>356</v>
      </c>
      <c r="B33" s="7" t="s">
        <v>87</v>
      </c>
      <c r="C33" s="7" t="s">
        <v>88</v>
      </c>
      <c r="D33" s="7" t="s">
        <v>357</v>
      </c>
      <c r="E33" s="7" t="s">
        <v>358</v>
      </c>
      <c r="F33" s="7" t="s">
        <v>278</v>
      </c>
      <c r="G33" s="7"/>
      <c r="H33" s="7" t="n">
        <v>3</v>
      </c>
      <c r="I33" s="7" t="s">
        <v>78</v>
      </c>
      <c r="J33" s="7" t="s">
        <v>359</v>
      </c>
    </row>
    <row r="34" customFormat="false" ht="27.75" hidden="false" customHeight="true" outlineLevel="0" collapsed="false">
      <c r="A34" s="7" t="s">
        <v>360</v>
      </c>
      <c r="B34" s="7" t="s">
        <v>94</v>
      </c>
      <c r="C34" s="7" t="s">
        <v>95</v>
      </c>
      <c r="D34" s="7" t="s">
        <v>361</v>
      </c>
      <c r="E34" s="7" t="s">
        <v>362</v>
      </c>
      <c r="F34" s="7" t="s">
        <v>278</v>
      </c>
      <c r="G34" s="7"/>
      <c r="H34" s="7" t="n">
        <v>1</v>
      </c>
      <c r="I34" s="7" t="s">
        <v>78</v>
      </c>
      <c r="J34" s="7" t="s">
        <v>363</v>
      </c>
    </row>
    <row r="35" customFormat="false" ht="27.75" hidden="false" customHeight="true" outlineLevel="0" collapsed="false">
      <c r="A35" s="7" t="s">
        <v>364</v>
      </c>
      <c r="B35" s="7" t="s">
        <v>94</v>
      </c>
      <c r="C35" s="7" t="s">
        <v>95</v>
      </c>
      <c r="D35" s="7" t="s">
        <v>365</v>
      </c>
      <c r="E35" s="7" t="s">
        <v>366</v>
      </c>
      <c r="F35" s="7" t="s">
        <v>278</v>
      </c>
      <c r="G35" s="7"/>
      <c r="H35" s="7" t="n">
        <v>1</v>
      </c>
      <c r="I35" s="7" t="s">
        <v>78</v>
      </c>
      <c r="J35" s="7" t="s">
        <v>367</v>
      </c>
    </row>
    <row r="36" customFormat="false" ht="27.75" hidden="false" customHeight="true" outlineLevel="0" collapsed="false">
      <c r="A36" s="7" t="s">
        <v>368</v>
      </c>
      <c r="B36" s="7" t="s">
        <v>94</v>
      </c>
      <c r="C36" s="7" t="s">
        <v>95</v>
      </c>
      <c r="D36" s="7" t="s">
        <v>369</v>
      </c>
      <c r="E36" s="7" t="s">
        <v>370</v>
      </c>
      <c r="F36" s="7" t="s">
        <v>278</v>
      </c>
      <c r="G36" s="7"/>
      <c r="H36" s="7" t="n">
        <v>2</v>
      </c>
      <c r="I36" s="7" t="s">
        <v>78</v>
      </c>
      <c r="J36" s="7" t="s">
        <v>371</v>
      </c>
    </row>
    <row r="37" customFormat="false" ht="27.75" hidden="false" customHeight="true" outlineLevel="0" collapsed="false">
      <c r="A37" s="7" t="s">
        <v>372</v>
      </c>
      <c r="B37" s="7" t="s">
        <v>94</v>
      </c>
      <c r="C37" s="7" t="s">
        <v>95</v>
      </c>
      <c r="D37" s="7" t="s">
        <v>373</v>
      </c>
      <c r="E37" s="7" t="s">
        <v>374</v>
      </c>
      <c r="F37" s="7" t="s">
        <v>278</v>
      </c>
      <c r="G37" s="7"/>
      <c r="H37" s="7" t="n">
        <v>2</v>
      </c>
      <c r="I37" s="7" t="s">
        <v>78</v>
      </c>
      <c r="J37" s="7" t="s">
        <v>375</v>
      </c>
    </row>
    <row r="38" customFormat="false" ht="27.75" hidden="false" customHeight="true" outlineLevel="0" collapsed="false">
      <c r="A38" s="7" t="s">
        <v>376</v>
      </c>
      <c r="B38" s="7" t="s">
        <v>101</v>
      </c>
      <c r="C38" s="7" t="s">
        <v>102</v>
      </c>
      <c r="D38" s="7" t="s">
        <v>377</v>
      </c>
      <c r="E38" s="7" t="s">
        <v>378</v>
      </c>
      <c r="F38" s="7" t="s">
        <v>278</v>
      </c>
      <c r="G38" s="7"/>
      <c r="H38" s="7" t="n">
        <v>1</v>
      </c>
      <c r="I38" s="7" t="s">
        <v>78</v>
      </c>
      <c r="J38" s="7" t="s">
        <v>379</v>
      </c>
    </row>
    <row r="39" customFormat="false" ht="27.75" hidden="false" customHeight="true" outlineLevel="0" collapsed="false">
      <c r="A39" s="7" t="s">
        <v>380</v>
      </c>
      <c r="B39" s="7" t="s">
        <v>101</v>
      </c>
      <c r="C39" s="7" t="s">
        <v>102</v>
      </c>
      <c r="D39" s="7" t="s">
        <v>381</v>
      </c>
      <c r="E39" s="7" t="s">
        <v>382</v>
      </c>
      <c r="F39" s="7" t="s">
        <v>278</v>
      </c>
      <c r="G39" s="7"/>
      <c r="H39" s="7" t="n">
        <v>1</v>
      </c>
      <c r="I39" s="7" t="s">
        <v>78</v>
      </c>
      <c r="J39" s="7" t="s">
        <v>383</v>
      </c>
    </row>
    <row r="40" customFormat="false" ht="27.75" hidden="false" customHeight="true" outlineLevel="0" collapsed="false">
      <c r="A40" s="7" t="s">
        <v>384</v>
      </c>
      <c r="B40" s="7" t="s">
        <v>101</v>
      </c>
      <c r="C40" s="7" t="s">
        <v>102</v>
      </c>
      <c r="D40" s="7" t="s">
        <v>385</v>
      </c>
      <c r="E40" s="7" t="s">
        <v>386</v>
      </c>
      <c r="F40" s="7" t="s">
        <v>278</v>
      </c>
      <c r="G40" s="7"/>
      <c r="H40" s="7" t="n">
        <v>1</v>
      </c>
      <c r="I40" s="7" t="s">
        <v>78</v>
      </c>
      <c r="J40" s="7" t="s">
        <v>387</v>
      </c>
    </row>
    <row r="41" customFormat="false" ht="27.75" hidden="false" customHeight="true" outlineLevel="0" collapsed="false">
      <c r="A41" s="7" t="s">
        <v>388</v>
      </c>
      <c r="B41" s="7" t="s">
        <v>101</v>
      </c>
      <c r="C41" s="7" t="s">
        <v>102</v>
      </c>
      <c r="D41" s="7" t="s">
        <v>389</v>
      </c>
      <c r="E41" s="7" t="s">
        <v>390</v>
      </c>
      <c r="F41" s="7" t="s">
        <v>278</v>
      </c>
      <c r="G41" s="7"/>
      <c r="H41" s="7" t="n">
        <v>1</v>
      </c>
      <c r="I41" s="7" t="s">
        <v>78</v>
      </c>
      <c r="J41" s="7" t="s">
        <v>391</v>
      </c>
    </row>
    <row r="42" customFormat="false" ht="27.75" hidden="false" customHeight="true" outlineLevel="0" collapsed="false">
      <c r="A42" s="7" t="s">
        <v>392</v>
      </c>
      <c r="B42" s="7" t="s">
        <v>101</v>
      </c>
      <c r="C42" s="7" t="s">
        <v>102</v>
      </c>
      <c r="D42" s="7" t="s">
        <v>393</v>
      </c>
      <c r="E42" s="7" t="s">
        <v>394</v>
      </c>
      <c r="F42" s="7" t="s">
        <v>278</v>
      </c>
      <c r="G42" s="7"/>
      <c r="H42" s="7" t="n">
        <v>2</v>
      </c>
      <c r="I42" s="7" t="s">
        <v>78</v>
      </c>
      <c r="J42" s="7" t="s">
        <v>395</v>
      </c>
    </row>
    <row r="43" customFormat="false" ht="27.75" hidden="false" customHeight="true" outlineLevel="0" collapsed="false">
      <c r="A43" s="7" t="s">
        <v>396</v>
      </c>
      <c r="B43" s="7" t="s">
        <v>101</v>
      </c>
      <c r="C43" s="7" t="s">
        <v>102</v>
      </c>
      <c r="D43" s="7" t="s">
        <v>397</v>
      </c>
      <c r="E43" s="7" t="s">
        <v>398</v>
      </c>
      <c r="F43" s="7" t="s">
        <v>278</v>
      </c>
      <c r="G43" s="7"/>
      <c r="H43" s="7" t="n">
        <v>2</v>
      </c>
      <c r="I43" s="7" t="s">
        <v>78</v>
      </c>
      <c r="J43" s="7" t="s">
        <v>399</v>
      </c>
    </row>
    <row r="44" customFormat="false" ht="27.75" hidden="false" customHeight="true" outlineLevel="0" collapsed="false">
      <c r="A44" s="7" t="s">
        <v>400</v>
      </c>
      <c r="B44" s="7" t="s">
        <v>108</v>
      </c>
      <c r="C44" s="7" t="s">
        <v>109</v>
      </c>
      <c r="D44" s="7" t="s">
        <v>401</v>
      </c>
      <c r="E44" s="7" t="s">
        <v>402</v>
      </c>
      <c r="F44" s="7" t="s">
        <v>278</v>
      </c>
      <c r="G44" s="7"/>
      <c r="H44" s="7" t="n">
        <v>1</v>
      </c>
      <c r="I44" s="7" t="s">
        <v>78</v>
      </c>
      <c r="J44" s="7" t="s">
        <v>403</v>
      </c>
    </row>
    <row r="45" customFormat="false" ht="27.75" hidden="false" customHeight="true" outlineLevel="0" collapsed="false">
      <c r="A45" s="7" t="s">
        <v>404</v>
      </c>
      <c r="B45" s="7" t="s">
        <v>108</v>
      </c>
      <c r="C45" s="7" t="s">
        <v>109</v>
      </c>
      <c r="D45" s="7" t="s">
        <v>405</v>
      </c>
      <c r="E45" s="7" t="s">
        <v>406</v>
      </c>
      <c r="F45" s="7" t="s">
        <v>278</v>
      </c>
      <c r="G45" s="7"/>
      <c r="H45" s="7" t="n">
        <v>2</v>
      </c>
      <c r="I45" s="7" t="s">
        <v>78</v>
      </c>
      <c r="J45" s="7" t="s">
        <v>407</v>
      </c>
    </row>
    <row r="46" customFormat="false" ht="27.75" hidden="false" customHeight="true" outlineLevel="0" collapsed="false">
      <c r="A46" s="7" t="s">
        <v>408</v>
      </c>
      <c r="B46" s="7" t="s">
        <v>108</v>
      </c>
      <c r="C46" s="7" t="s">
        <v>109</v>
      </c>
      <c r="D46" s="7" t="s">
        <v>409</v>
      </c>
      <c r="E46" s="7" t="s">
        <v>410</v>
      </c>
      <c r="F46" s="7" t="s">
        <v>278</v>
      </c>
      <c r="G46" s="7"/>
      <c r="H46" s="7" t="n">
        <v>2</v>
      </c>
      <c r="I46" s="7" t="s">
        <v>78</v>
      </c>
      <c r="J46" s="7" t="s">
        <v>411</v>
      </c>
    </row>
    <row r="47" customFormat="false" ht="27.75" hidden="false" customHeight="true" outlineLevel="0" collapsed="false">
      <c r="A47" s="7" t="s">
        <v>412</v>
      </c>
      <c r="B47" s="7" t="s">
        <v>108</v>
      </c>
      <c r="C47" s="7" t="s">
        <v>109</v>
      </c>
      <c r="D47" s="7" t="s">
        <v>413</v>
      </c>
      <c r="E47" s="7" t="s">
        <v>414</v>
      </c>
      <c r="F47" s="7" t="s">
        <v>278</v>
      </c>
      <c r="G47" s="7"/>
      <c r="H47" s="7" t="n">
        <v>2</v>
      </c>
      <c r="I47" s="7" t="s">
        <v>78</v>
      </c>
      <c r="J47" s="7" t="s">
        <v>415</v>
      </c>
    </row>
    <row r="48" customFormat="false" ht="27.75" hidden="false" customHeight="true" outlineLevel="0" collapsed="false">
      <c r="A48" s="7" t="s">
        <v>416</v>
      </c>
      <c r="B48" s="7" t="s">
        <v>108</v>
      </c>
      <c r="C48" s="7" t="s">
        <v>109</v>
      </c>
      <c r="D48" s="7" t="s">
        <v>417</v>
      </c>
      <c r="E48" s="7" t="s">
        <v>418</v>
      </c>
      <c r="F48" s="7" t="s">
        <v>278</v>
      </c>
      <c r="G48" s="7"/>
      <c r="H48" s="7" t="n">
        <v>3</v>
      </c>
      <c r="I48" s="7" t="s">
        <v>78</v>
      </c>
      <c r="J48" s="7" t="s">
        <v>419</v>
      </c>
    </row>
    <row r="49" customFormat="false" ht="27.75" hidden="false" customHeight="true" outlineLevel="0" collapsed="false">
      <c r="A49" s="7" t="s">
        <v>420</v>
      </c>
      <c r="B49" s="7" t="s">
        <v>114</v>
      </c>
      <c r="C49" s="7" t="s">
        <v>115</v>
      </c>
      <c r="D49" s="7" t="s">
        <v>421</v>
      </c>
      <c r="E49" s="7" t="s">
        <v>422</v>
      </c>
      <c r="F49" s="7" t="s">
        <v>278</v>
      </c>
      <c r="G49" s="7"/>
      <c r="H49" s="7" t="n">
        <v>2</v>
      </c>
      <c r="I49" s="7" t="s">
        <v>78</v>
      </c>
      <c r="J49" s="7" t="s">
        <v>423</v>
      </c>
    </row>
    <row r="50" customFormat="false" ht="27.75" hidden="false" customHeight="true" outlineLevel="0" collapsed="false">
      <c r="A50" s="7" t="s">
        <v>424</v>
      </c>
      <c r="B50" s="7" t="s">
        <v>114</v>
      </c>
      <c r="C50" s="7" t="s">
        <v>115</v>
      </c>
      <c r="D50" s="7" t="s">
        <v>425</v>
      </c>
      <c r="E50" s="7" t="s">
        <v>426</v>
      </c>
      <c r="F50" s="7" t="s">
        <v>278</v>
      </c>
      <c r="G50" s="7" t="s">
        <v>427</v>
      </c>
      <c r="H50" s="7" t="n">
        <v>2</v>
      </c>
      <c r="I50" s="7" t="s">
        <v>78</v>
      </c>
      <c r="J50" s="7" t="s">
        <v>428</v>
      </c>
    </row>
    <row r="51" customFormat="false" ht="27.75" hidden="false" customHeight="true" outlineLevel="0" collapsed="false">
      <c r="A51" s="7" t="s">
        <v>429</v>
      </c>
      <c r="B51" s="7" t="s">
        <v>114</v>
      </c>
      <c r="C51" s="7" t="s">
        <v>115</v>
      </c>
      <c r="D51" s="7" t="s">
        <v>430</v>
      </c>
      <c r="E51" s="7" t="s">
        <v>431</v>
      </c>
      <c r="F51" s="7" t="s">
        <v>278</v>
      </c>
      <c r="G51" s="7"/>
      <c r="H51" s="7" t="n">
        <v>3</v>
      </c>
      <c r="I51" s="7" t="s">
        <v>78</v>
      </c>
      <c r="J51" s="7" t="s">
        <v>432</v>
      </c>
    </row>
    <row r="52" customFormat="false" ht="27.75" hidden="false" customHeight="true" outlineLevel="0" collapsed="false">
      <c r="A52" s="7" t="s">
        <v>433</v>
      </c>
      <c r="B52" s="7" t="s">
        <v>114</v>
      </c>
      <c r="C52" s="7" t="s">
        <v>115</v>
      </c>
      <c r="D52" s="7" t="s">
        <v>434</v>
      </c>
      <c r="E52" s="7" t="s">
        <v>435</v>
      </c>
      <c r="F52" s="7" t="s">
        <v>278</v>
      </c>
      <c r="G52" s="7"/>
      <c r="H52" s="7" t="n">
        <v>3</v>
      </c>
      <c r="I52" s="7" t="s">
        <v>78</v>
      </c>
      <c r="J52" s="7" t="s">
        <v>436</v>
      </c>
    </row>
    <row r="53" customFormat="false" ht="27.75" hidden="false" customHeight="true" outlineLevel="0" collapsed="false">
      <c r="A53" s="7" t="s">
        <v>437</v>
      </c>
      <c r="B53" s="7" t="s">
        <v>120</v>
      </c>
      <c r="C53" s="7" t="s">
        <v>121</v>
      </c>
      <c r="D53" s="7" t="s">
        <v>438</v>
      </c>
      <c r="E53" s="7" t="s">
        <v>439</v>
      </c>
      <c r="F53" s="7" t="s">
        <v>278</v>
      </c>
      <c r="G53" s="7" t="s">
        <v>440</v>
      </c>
      <c r="H53" s="7" t="n">
        <v>2</v>
      </c>
      <c r="I53" s="7" t="s">
        <v>78</v>
      </c>
      <c r="J53" s="7" t="s">
        <v>441</v>
      </c>
    </row>
    <row r="54" customFormat="false" ht="27.75" hidden="false" customHeight="true" outlineLevel="0" collapsed="false">
      <c r="A54" s="7" t="s">
        <v>442</v>
      </c>
      <c r="B54" s="7" t="s">
        <v>120</v>
      </c>
      <c r="C54" s="7" t="s">
        <v>121</v>
      </c>
      <c r="D54" s="7" t="s">
        <v>443</v>
      </c>
      <c r="E54" s="7" t="s">
        <v>444</v>
      </c>
      <c r="F54" s="7" t="s">
        <v>278</v>
      </c>
      <c r="G54" s="7" t="s">
        <v>445</v>
      </c>
      <c r="H54" s="7" t="n">
        <v>2</v>
      </c>
      <c r="I54" s="7" t="s">
        <v>78</v>
      </c>
      <c r="J54" s="7" t="s">
        <v>446</v>
      </c>
    </row>
    <row r="55" customFormat="false" ht="27.75" hidden="false" customHeight="true" outlineLevel="0" collapsed="false">
      <c r="A55" s="7" t="s">
        <v>447</v>
      </c>
      <c r="B55" s="7" t="s">
        <v>120</v>
      </c>
      <c r="C55" s="7" t="s">
        <v>121</v>
      </c>
      <c r="D55" s="7" t="s">
        <v>448</v>
      </c>
      <c r="E55" s="7" t="s">
        <v>449</v>
      </c>
      <c r="F55" s="7" t="s">
        <v>278</v>
      </c>
      <c r="G55" s="7"/>
      <c r="H55" s="7" t="n">
        <v>3</v>
      </c>
      <c r="I55" s="7" t="s">
        <v>78</v>
      </c>
      <c r="J55" s="7" t="s">
        <v>450</v>
      </c>
    </row>
    <row r="56" customFormat="false" ht="27.75" hidden="false" customHeight="true" outlineLevel="0" collapsed="false">
      <c r="A56" s="7" t="s">
        <v>451</v>
      </c>
      <c r="B56" s="7" t="s">
        <v>126</v>
      </c>
      <c r="C56" s="7" t="s">
        <v>127</v>
      </c>
      <c r="D56" s="7" t="s">
        <v>452</v>
      </c>
      <c r="E56" s="7" t="s">
        <v>453</v>
      </c>
      <c r="F56" s="7" t="s">
        <v>278</v>
      </c>
      <c r="G56" s="7" t="s">
        <v>454</v>
      </c>
      <c r="H56" s="7" t="n">
        <v>2</v>
      </c>
      <c r="I56" s="7" t="s">
        <v>78</v>
      </c>
      <c r="J56" s="7" t="s">
        <v>455</v>
      </c>
    </row>
    <row r="57" customFormat="false" ht="27.75" hidden="false" customHeight="true" outlineLevel="0" collapsed="false">
      <c r="A57" s="7" t="s">
        <v>456</v>
      </c>
      <c r="B57" s="7" t="s">
        <v>126</v>
      </c>
      <c r="C57" s="7" t="s">
        <v>127</v>
      </c>
      <c r="D57" s="7" t="s">
        <v>457</v>
      </c>
      <c r="E57" s="7" t="s">
        <v>458</v>
      </c>
      <c r="F57" s="7" t="s">
        <v>278</v>
      </c>
      <c r="G57" s="7" t="s">
        <v>459</v>
      </c>
      <c r="H57" s="7" t="n">
        <v>2</v>
      </c>
      <c r="I57" s="7" t="s">
        <v>78</v>
      </c>
      <c r="J57" s="7" t="s">
        <v>460</v>
      </c>
    </row>
    <row r="58" customFormat="false" ht="27.75" hidden="false" customHeight="true" outlineLevel="0" collapsed="false">
      <c r="A58" s="7" t="s">
        <v>461</v>
      </c>
      <c r="B58" s="7" t="s">
        <v>133</v>
      </c>
      <c r="C58" s="7" t="s">
        <v>134</v>
      </c>
      <c r="D58" s="7" t="s">
        <v>462</v>
      </c>
      <c r="E58" s="7" t="s">
        <v>463</v>
      </c>
      <c r="F58" s="7" t="s">
        <v>278</v>
      </c>
      <c r="G58" s="7"/>
      <c r="H58" s="7" t="n">
        <v>2</v>
      </c>
      <c r="I58" s="7" t="s">
        <v>78</v>
      </c>
      <c r="J58" s="7" t="s">
        <v>464</v>
      </c>
    </row>
    <row r="59" customFormat="false" ht="27.75" hidden="false" customHeight="true" outlineLevel="0" collapsed="false">
      <c r="A59" s="7" t="s">
        <v>465</v>
      </c>
      <c r="B59" s="7" t="s">
        <v>133</v>
      </c>
      <c r="C59" s="7" t="s">
        <v>134</v>
      </c>
      <c r="D59" s="7" t="s">
        <v>466</v>
      </c>
      <c r="E59" s="7" t="s">
        <v>467</v>
      </c>
      <c r="F59" s="7" t="s">
        <v>278</v>
      </c>
      <c r="G59" s="7"/>
      <c r="H59" s="7" t="n">
        <v>2</v>
      </c>
      <c r="I59" s="7" t="s">
        <v>78</v>
      </c>
      <c r="J59" s="7" t="s">
        <v>468</v>
      </c>
    </row>
    <row r="60" customFormat="false" ht="27.75" hidden="false" customHeight="true" outlineLevel="0" collapsed="false">
      <c r="A60" s="7" t="s">
        <v>469</v>
      </c>
      <c r="B60" s="7" t="s">
        <v>133</v>
      </c>
      <c r="C60" s="7" t="s">
        <v>134</v>
      </c>
      <c r="D60" s="7" t="s">
        <v>470</v>
      </c>
      <c r="E60" s="7" t="s">
        <v>471</v>
      </c>
      <c r="F60" s="7" t="s">
        <v>278</v>
      </c>
      <c r="G60" s="7"/>
      <c r="H60" s="7" t="n">
        <v>3</v>
      </c>
      <c r="I60" s="7" t="s">
        <v>78</v>
      </c>
      <c r="J60" s="7" t="s">
        <v>472</v>
      </c>
    </row>
    <row r="61" customFormat="false" ht="27.75" hidden="false" customHeight="true" outlineLevel="0" collapsed="false">
      <c r="A61" s="7" t="s">
        <v>473</v>
      </c>
      <c r="B61" s="7" t="s">
        <v>140</v>
      </c>
      <c r="C61" s="7" t="s">
        <v>141</v>
      </c>
      <c r="D61" s="7" t="s">
        <v>474</v>
      </c>
      <c r="E61" s="7" t="s">
        <v>475</v>
      </c>
      <c r="F61" s="7" t="s">
        <v>278</v>
      </c>
      <c r="G61" s="7"/>
      <c r="H61" s="7" t="n">
        <v>2</v>
      </c>
      <c r="I61" s="7" t="s">
        <v>78</v>
      </c>
      <c r="J61" s="7" t="s">
        <v>476</v>
      </c>
    </row>
    <row r="62" customFormat="false" ht="27.75" hidden="false" customHeight="true" outlineLevel="0" collapsed="false">
      <c r="A62" s="7" t="s">
        <v>477</v>
      </c>
      <c r="B62" s="7" t="s">
        <v>140</v>
      </c>
      <c r="C62" s="7" t="s">
        <v>141</v>
      </c>
      <c r="D62" s="7" t="s">
        <v>478</v>
      </c>
      <c r="E62" s="7" t="s">
        <v>479</v>
      </c>
      <c r="F62" s="7" t="s">
        <v>278</v>
      </c>
      <c r="G62" s="7"/>
      <c r="H62" s="7" t="n">
        <v>2</v>
      </c>
      <c r="I62" s="7" t="s">
        <v>78</v>
      </c>
      <c r="J62" s="7" t="s">
        <v>480</v>
      </c>
    </row>
    <row r="63" customFormat="false" ht="27.75" hidden="false" customHeight="true" outlineLevel="0" collapsed="false">
      <c r="A63" s="7" t="s">
        <v>481</v>
      </c>
      <c r="B63" s="7" t="s">
        <v>140</v>
      </c>
      <c r="C63" s="7" t="s">
        <v>141</v>
      </c>
      <c r="D63" s="7" t="s">
        <v>482</v>
      </c>
      <c r="E63" s="7" t="s">
        <v>483</v>
      </c>
      <c r="F63" s="7" t="s">
        <v>278</v>
      </c>
      <c r="G63" s="7"/>
      <c r="H63" s="7" t="n">
        <v>3</v>
      </c>
      <c r="I63" s="7" t="s">
        <v>78</v>
      </c>
      <c r="J63" s="7" t="s">
        <v>484</v>
      </c>
    </row>
    <row r="64" customFormat="false" ht="27.75" hidden="false" customHeight="true" outlineLevel="0" collapsed="false">
      <c r="A64" s="7" t="s">
        <v>485</v>
      </c>
      <c r="B64" s="7" t="s">
        <v>147</v>
      </c>
      <c r="C64" s="7" t="s">
        <v>148</v>
      </c>
      <c r="D64" s="7" t="s">
        <v>486</v>
      </c>
      <c r="E64" s="7" t="s">
        <v>487</v>
      </c>
      <c r="F64" s="7" t="s">
        <v>278</v>
      </c>
      <c r="G64" s="7"/>
      <c r="H64" s="7" t="n">
        <v>2</v>
      </c>
      <c r="I64" s="7" t="s">
        <v>78</v>
      </c>
      <c r="J64" s="7" t="s">
        <v>488</v>
      </c>
    </row>
    <row r="65" customFormat="false" ht="27.75" hidden="false" customHeight="true" outlineLevel="0" collapsed="false">
      <c r="A65" s="7" t="s">
        <v>489</v>
      </c>
      <c r="B65" s="7" t="s">
        <v>147</v>
      </c>
      <c r="C65" s="7" t="s">
        <v>148</v>
      </c>
      <c r="D65" s="7" t="s">
        <v>490</v>
      </c>
      <c r="E65" s="7" t="s">
        <v>491</v>
      </c>
      <c r="F65" s="7" t="s">
        <v>278</v>
      </c>
      <c r="G65" s="7"/>
      <c r="H65" s="7" t="n">
        <v>2</v>
      </c>
      <c r="I65" s="7" t="s">
        <v>78</v>
      </c>
      <c r="J65" s="7" t="s">
        <v>492</v>
      </c>
    </row>
    <row r="66" customFormat="false" ht="27.75" hidden="false" customHeight="true" outlineLevel="0" collapsed="false">
      <c r="A66" s="7" t="s">
        <v>493</v>
      </c>
      <c r="B66" s="7" t="s">
        <v>147</v>
      </c>
      <c r="C66" s="7" t="s">
        <v>148</v>
      </c>
      <c r="D66" s="7" t="s">
        <v>494</v>
      </c>
      <c r="E66" s="7" t="s">
        <v>495</v>
      </c>
      <c r="F66" s="7" t="s">
        <v>278</v>
      </c>
      <c r="G66" s="7"/>
      <c r="H66" s="7" t="n">
        <v>3</v>
      </c>
      <c r="I66" s="7" t="s">
        <v>78</v>
      </c>
      <c r="J66" s="7" t="s">
        <v>496</v>
      </c>
    </row>
    <row r="67" customFormat="false" ht="27.75" hidden="false" customHeight="true" outlineLevel="0" collapsed="false">
      <c r="A67" s="7" t="s">
        <v>497</v>
      </c>
      <c r="B67" s="7" t="s">
        <v>147</v>
      </c>
      <c r="C67" s="7" t="s">
        <v>148</v>
      </c>
      <c r="D67" s="7" t="s">
        <v>498</v>
      </c>
      <c r="E67" s="7" t="s">
        <v>499</v>
      </c>
      <c r="F67" s="7" t="s">
        <v>278</v>
      </c>
      <c r="G67" s="7"/>
      <c r="H67" s="7" t="n">
        <v>3</v>
      </c>
      <c r="I67" s="7" t="s">
        <v>78</v>
      </c>
      <c r="J67" s="7" t="s">
        <v>500</v>
      </c>
    </row>
    <row r="68" customFormat="false" ht="27.75" hidden="false" customHeight="true" outlineLevel="0" collapsed="false">
      <c r="A68" s="7" t="s">
        <v>501</v>
      </c>
      <c r="B68" s="7" t="s">
        <v>154</v>
      </c>
      <c r="C68" s="7" t="s">
        <v>155</v>
      </c>
      <c r="D68" s="7" t="s">
        <v>502</v>
      </c>
      <c r="E68" s="7" t="s">
        <v>503</v>
      </c>
      <c r="F68" s="7" t="s">
        <v>278</v>
      </c>
      <c r="G68" s="7"/>
      <c r="H68" s="7" t="n">
        <v>2</v>
      </c>
      <c r="I68" s="7" t="s">
        <v>78</v>
      </c>
      <c r="J68" s="7" t="s">
        <v>504</v>
      </c>
    </row>
    <row r="69" customFormat="false" ht="27.75" hidden="false" customHeight="true" outlineLevel="0" collapsed="false">
      <c r="A69" s="7" t="s">
        <v>505</v>
      </c>
      <c r="B69" s="7" t="s">
        <v>154</v>
      </c>
      <c r="C69" s="7" t="s">
        <v>155</v>
      </c>
      <c r="D69" s="7" t="s">
        <v>506</v>
      </c>
      <c r="E69" s="7" t="s">
        <v>507</v>
      </c>
      <c r="F69" s="7" t="s">
        <v>278</v>
      </c>
      <c r="G69" s="7"/>
      <c r="H69" s="7" t="n">
        <v>2</v>
      </c>
      <c r="I69" s="7" t="s">
        <v>78</v>
      </c>
      <c r="J69" s="7" t="s">
        <v>508</v>
      </c>
    </row>
    <row r="70" customFormat="false" ht="27.75" hidden="false" customHeight="true" outlineLevel="0" collapsed="false">
      <c r="A70" s="7" t="s">
        <v>509</v>
      </c>
      <c r="B70" s="7" t="s">
        <v>154</v>
      </c>
      <c r="C70" s="7" t="s">
        <v>155</v>
      </c>
      <c r="D70" s="7" t="s">
        <v>510</v>
      </c>
      <c r="E70" s="7" t="s">
        <v>511</v>
      </c>
      <c r="F70" s="7" t="s">
        <v>278</v>
      </c>
      <c r="G70" s="7"/>
      <c r="H70" s="7" t="n">
        <v>2</v>
      </c>
      <c r="I70" s="7" t="s">
        <v>78</v>
      </c>
      <c r="J70" s="7" t="s">
        <v>512</v>
      </c>
    </row>
    <row r="71" customFormat="false" ht="27.75" hidden="false" customHeight="true" outlineLevel="0" collapsed="false">
      <c r="A71" s="7" t="s">
        <v>513</v>
      </c>
      <c r="B71" s="7" t="s">
        <v>154</v>
      </c>
      <c r="C71" s="7" t="s">
        <v>155</v>
      </c>
      <c r="D71" s="7" t="s">
        <v>514</v>
      </c>
      <c r="E71" s="7" t="s">
        <v>515</v>
      </c>
      <c r="F71" s="7" t="s">
        <v>278</v>
      </c>
      <c r="G71" s="7"/>
      <c r="H71" s="7" t="n">
        <v>3</v>
      </c>
      <c r="I71" s="7" t="s">
        <v>78</v>
      </c>
      <c r="J71" s="7" t="s">
        <v>516</v>
      </c>
    </row>
    <row r="72" customFormat="false" ht="27.75" hidden="false" customHeight="true" outlineLevel="0" collapsed="false">
      <c r="A72" s="7" t="s">
        <v>517</v>
      </c>
      <c r="B72" s="7" t="s">
        <v>154</v>
      </c>
      <c r="C72" s="7" t="s">
        <v>155</v>
      </c>
      <c r="D72" s="7" t="s">
        <v>369</v>
      </c>
      <c r="E72" s="7" t="s">
        <v>518</v>
      </c>
      <c r="F72" s="7" t="s">
        <v>278</v>
      </c>
      <c r="G72" s="7"/>
      <c r="H72" s="7" t="n">
        <v>3</v>
      </c>
      <c r="I72" s="7" t="s">
        <v>78</v>
      </c>
      <c r="J72" s="7" t="s">
        <v>519</v>
      </c>
    </row>
    <row r="73" customFormat="false" ht="27.75" hidden="false" customHeight="true" outlineLevel="0" collapsed="false">
      <c r="A73" s="7" t="s">
        <v>520</v>
      </c>
      <c r="B73" s="7" t="s">
        <v>160</v>
      </c>
      <c r="C73" s="7" t="s">
        <v>161</v>
      </c>
      <c r="D73" s="7" t="s">
        <v>521</v>
      </c>
      <c r="E73" s="7" t="s">
        <v>522</v>
      </c>
      <c r="F73" s="7" t="s">
        <v>278</v>
      </c>
      <c r="G73" s="7" t="s">
        <v>523</v>
      </c>
      <c r="H73" s="7" t="n">
        <v>2</v>
      </c>
      <c r="I73" s="7" t="s">
        <v>78</v>
      </c>
      <c r="J73" s="7" t="s">
        <v>524</v>
      </c>
    </row>
    <row r="74" customFormat="false" ht="27.75" hidden="false" customHeight="true" outlineLevel="0" collapsed="false">
      <c r="A74" s="7" t="s">
        <v>525</v>
      </c>
      <c r="B74" s="7" t="s">
        <v>160</v>
      </c>
      <c r="C74" s="7" t="s">
        <v>161</v>
      </c>
      <c r="D74" s="7" t="s">
        <v>526</v>
      </c>
      <c r="E74" s="7" t="s">
        <v>527</v>
      </c>
      <c r="F74" s="7" t="s">
        <v>278</v>
      </c>
      <c r="G74" s="7" t="s">
        <v>528</v>
      </c>
      <c r="H74" s="7" t="n">
        <v>2</v>
      </c>
      <c r="I74" s="7" t="s">
        <v>78</v>
      </c>
      <c r="J74" s="7" t="s">
        <v>529</v>
      </c>
    </row>
    <row r="75" customFormat="false" ht="27.75" hidden="false" customHeight="true" outlineLevel="0" collapsed="false">
      <c r="A75" s="7" t="s">
        <v>530</v>
      </c>
      <c r="B75" s="7" t="s">
        <v>160</v>
      </c>
      <c r="C75" s="7" t="s">
        <v>161</v>
      </c>
      <c r="D75" s="7" t="s">
        <v>531</v>
      </c>
      <c r="E75" s="7" t="s">
        <v>532</v>
      </c>
      <c r="F75" s="7" t="s">
        <v>278</v>
      </c>
      <c r="G75" s="7" t="s">
        <v>533</v>
      </c>
      <c r="H75" s="7" t="n">
        <v>2</v>
      </c>
      <c r="I75" s="7" t="s">
        <v>78</v>
      </c>
      <c r="J75" s="7" t="s">
        <v>534</v>
      </c>
    </row>
    <row r="76" customFormat="false" ht="27.75" hidden="false" customHeight="true" outlineLevel="0" collapsed="false">
      <c r="A76" s="7" t="s">
        <v>535</v>
      </c>
      <c r="B76" s="7" t="s">
        <v>165</v>
      </c>
      <c r="C76" s="7" t="s">
        <v>166</v>
      </c>
      <c r="D76" s="7" t="s">
        <v>536</v>
      </c>
      <c r="E76" s="7" t="s">
        <v>537</v>
      </c>
      <c r="F76" s="7" t="s">
        <v>278</v>
      </c>
      <c r="G76" s="7" t="s">
        <v>538</v>
      </c>
      <c r="H76" s="7" t="n">
        <v>1</v>
      </c>
      <c r="I76" s="7" t="s">
        <v>78</v>
      </c>
      <c r="J76" s="7" t="s">
        <v>539</v>
      </c>
    </row>
    <row r="77" customFormat="false" ht="27.75" hidden="false" customHeight="true" outlineLevel="0" collapsed="false">
      <c r="A77" s="7" t="s">
        <v>540</v>
      </c>
      <c r="B77" s="7" t="s">
        <v>165</v>
      </c>
      <c r="C77" s="7" t="s">
        <v>166</v>
      </c>
      <c r="D77" s="7" t="s">
        <v>541</v>
      </c>
      <c r="E77" s="7" t="s">
        <v>542</v>
      </c>
      <c r="F77" s="7" t="s">
        <v>278</v>
      </c>
      <c r="G77" s="7" t="s">
        <v>543</v>
      </c>
      <c r="H77" s="7" t="n">
        <v>2</v>
      </c>
      <c r="I77" s="7" t="s">
        <v>78</v>
      </c>
      <c r="J77" s="7" t="s">
        <v>544</v>
      </c>
    </row>
    <row r="78" customFormat="false" ht="27.75" hidden="false" customHeight="true" outlineLevel="0" collapsed="false">
      <c r="A78" s="7" t="s">
        <v>545</v>
      </c>
      <c r="B78" s="7" t="s">
        <v>171</v>
      </c>
      <c r="C78" s="7" t="s">
        <v>172</v>
      </c>
      <c r="D78" s="7" t="s">
        <v>546</v>
      </c>
      <c r="E78" s="7" t="s">
        <v>547</v>
      </c>
      <c r="F78" s="7" t="s">
        <v>278</v>
      </c>
      <c r="G78" s="7"/>
      <c r="H78" s="7" t="n">
        <v>3</v>
      </c>
      <c r="I78" s="7" t="s">
        <v>78</v>
      </c>
      <c r="J78" s="7" t="s">
        <v>548</v>
      </c>
    </row>
    <row r="79" customFormat="false" ht="27.75" hidden="false" customHeight="true" outlineLevel="0" collapsed="false">
      <c r="A79" s="7" t="s">
        <v>549</v>
      </c>
      <c r="B79" s="7" t="s">
        <v>171</v>
      </c>
      <c r="C79" s="7" t="s">
        <v>172</v>
      </c>
      <c r="D79" s="7" t="s">
        <v>550</v>
      </c>
      <c r="E79" s="7" t="s">
        <v>551</v>
      </c>
      <c r="F79" s="7" t="s">
        <v>278</v>
      </c>
      <c r="G79" s="7"/>
      <c r="H79" s="7" t="n">
        <v>3</v>
      </c>
      <c r="I79" s="7" t="s">
        <v>78</v>
      </c>
      <c r="J79" s="7" t="s">
        <v>552</v>
      </c>
    </row>
    <row r="80" customFormat="false" ht="27.75" hidden="false" customHeight="true" outlineLevel="0" collapsed="false">
      <c r="A80" s="7" t="s">
        <v>553</v>
      </c>
      <c r="B80" s="7" t="s">
        <v>176</v>
      </c>
      <c r="C80" s="7" t="s">
        <v>177</v>
      </c>
      <c r="D80" s="7" t="s">
        <v>554</v>
      </c>
      <c r="E80" s="7" t="s">
        <v>555</v>
      </c>
      <c r="F80" s="7" t="s">
        <v>278</v>
      </c>
      <c r="G80" s="7"/>
      <c r="H80" s="7" t="n">
        <v>3</v>
      </c>
      <c r="I80" s="7" t="s">
        <v>78</v>
      </c>
      <c r="J80" s="7" t="s">
        <v>556</v>
      </c>
    </row>
    <row r="81" customFormat="false" ht="27.75" hidden="false" customHeight="true" outlineLevel="0" collapsed="false">
      <c r="A81" s="7" t="s">
        <v>557</v>
      </c>
      <c r="B81" s="7" t="s">
        <v>176</v>
      </c>
      <c r="C81" s="7" t="s">
        <v>177</v>
      </c>
      <c r="D81" s="7" t="s">
        <v>558</v>
      </c>
      <c r="E81" s="7" t="s">
        <v>559</v>
      </c>
      <c r="F81" s="7" t="s">
        <v>278</v>
      </c>
      <c r="G81" s="7"/>
      <c r="H81" s="7" t="n">
        <v>3</v>
      </c>
      <c r="I81" s="7" t="s">
        <v>78</v>
      </c>
      <c r="J81" s="7" t="s">
        <v>407</v>
      </c>
    </row>
    <row r="82" customFormat="false" ht="27.75" hidden="false" customHeight="true" outlineLevel="0" collapsed="false">
      <c r="A82" s="7" t="s">
        <v>560</v>
      </c>
      <c r="B82" s="7" t="s">
        <v>183</v>
      </c>
      <c r="C82" s="7" t="s">
        <v>184</v>
      </c>
      <c r="D82" s="7" t="s">
        <v>561</v>
      </c>
      <c r="E82" s="7" t="s">
        <v>562</v>
      </c>
      <c r="F82" s="7" t="s">
        <v>278</v>
      </c>
      <c r="G82" s="7"/>
      <c r="H82" s="7" t="n">
        <v>3</v>
      </c>
      <c r="I82" s="7" t="s">
        <v>78</v>
      </c>
      <c r="J82" s="7" t="s">
        <v>563</v>
      </c>
    </row>
    <row r="83" customFormat="false" ht="27.75" hidden="false" customHeight="true" outlineLevel="0" collapsed="false">
      <c r="A83" s="7" t="s">
        <v>564</v>
      </c>
      <c r="B83" s="7" t="s">
        <v>183</v>
      </c>
      <c r="C83" s="7" t="s">
        <v>184</v>
      </c>
      <c r="D83" s="7" t="s">
        <v>565</v>
      </c>
      <c r="E83" s="7" t="s">
        <v>566</v>
      </c>
      <c r="F83" s="7" t="s">
        <v>278</v>
      </c>
      <c r="G83" s="7"/>
      <c r="H83" s="7" t="n">
        <v>3</v>
      </c>
      <c r="I83" s="7" t="s">
        <v>78</v>
      </c>
      <c r="J83" s="7" t="s">
        <v>567</v>
      </c>
    </row>
    <row r="84" customFormat="false" ht="27.75" hidden="false" customHeight="true" outlineLevel="0" collapsed="false">
      <c r="A84" s="7" t="s">
        <v>568</v>
      </c>
      <c r="B84" s="7" t="s">
        <v>189</v>
      </c>
      <c r="C84" s="7" t="s">
        <v>190</v>
      </c>
      <c r="D84" s="7" t="s">
        <v>569</v>
      </c>
      <c r="E84" s="7" t="s">
        <v>570</v>
      </c>
      <c r="F84" s="7" t="s">
        <v>278</v>
      </c>
      <c r="G84" s="7"/>
      <c r="H84" s="7" t="n">
        <v>3</v>
      </c>
      <c r="I84" s="7" t="s">
        <v>78</v>
      </c>
      <c r="J84" s="7" t="s">
        <v>571</v>
      </c>
    </row>
    <row r="85" customFormat="false" ht="27.75" hidden="false" customHeight="true" outlineLevel="0" collapsed="false">
      <c r="A85" s="7" t="s">
        <v>572</v>
      </c>
      <c r="B85" s="7" t="s">
        <v>189</v>
      </c>
      <c r="C85" s="7" t="s">
        <v>190</v>
      </c>
      <c r="D85" s="7" t="s">
        <v>573</v>
      </c>
      <c r="E85" s="7" t="s">
        <v>574</v>
      </c>
      <c r="F85" s="7" t="s">
        <v>278</v>
      </c>
      <c r="G85" s="7"/>
      <c r="H85" s="7" t="n">
        <v>3</v>
      </c>
      <c r="I85" s="7" t="s">
        <v>78</v>
      </c>
      <c r="J85" s="7" t="s">
        <v>575</v>
      </c>
    </row>
    <row r="86" customFormat="false" ht="27.75" hidden="false" customHeight="true" outlineLevel="0" collapsed="false">
      <c r="A86" s="7" t="s">
        <v>576</v>
      </c>
      <c r="B86" s="7" t="s">
        <v>195</v>
      </c>
      <c r="C86" s="7" t="s">
        <v>196</v>
      </c>
      <c r="D86" s="7" t="s">
        <v>577</v>
      </c>
      <c r="E86" s="7" t="s">
        <v>578</v>
      </c>
      <c r="F86" s="7" t="s">
        <v>278</v>
      </c>
      <c r="G86" s="7" t="s">
        <v>579</v>
      </c>
      <c r="H86" s="7" t="n">
        <v>2</v>
      </c>
      <c r="I86" s="7" t="s">
        <v>78</v>
      </c>
      <c r="J86" s="7" t="s">
        <v>580</v>
      </c>
    </row>
    <row r="87" customFormat="false" ht="27.75" hidden="false" customHeight="true" outlineLevel="0" collapsed="false">
      <c r="A87" s="7" t="s">
        <v>581</v>
      </c>
      <c r="B87" s="7" t="s">
        <v>195</v>
      </c>
      <c r="C87" s="7" t="s">
        <v>196</v>
      </c>
      <c r="D87" s="7" t="s">
        <v>582</v>
      </c>
      <c r="E87" s="7" t="s">
        <v>583</v>
      </c>
      <c r="F87" s="7" t="s">
        <v>278</v>
      </c>
      <c r="G87" s="7" t="s">
        <v>584</v>
      </c>
      <c r="H87" s="7" t="n">
        <v>3</v>
      </c>
      <c r="I87" s="7" t="s">
        <v>78</v>
      </c>
      <c r="J87" s="7" t="s">
        <v>585</v>
      </c>
    </row>
    <row r="88" customFormat="false" ht="27.75" hidden="false" customHeight="true" outlineLevel="0" collapsed="false">
      <c r="A88" s="7" t="s">
        <v>586</v>
      </c>
      <c r="B88" s="7" t="s">
        <v>201</v>
      </c>
      <c r="C88" s="7" t="s">
        <v>202</v>
      </c>
      <c r="D88" s="7" t="s">
        <v>587</v>
      </c>
      <c r="E88" s="7" t="s">
        <v>588</v>
      </c>
      <c r="F88" s="7" t="s">
        <v>278</v>
      </c>
      <c r="G88" s="7" t="s">
        <v>589</v>
      </c>
      <c r="H88" s="7" t="n">
        <v>3</v>
      </c>
      <c r="I88" s="7" t="s">
        <v>78</v>
      </c>
      <c r="J88" s="7" t="s">
        <v>590</v>
      </c>
    </row>
    <row r="89" customFormat="false" ht="27.75" hidden="false" customHeight="true" outlineLevel="0" collapsed="false">
      <c r="A89" s="7" t="s">
        <v>591</v>
      </c>
      <c r="B89" s="7" t="s">
        <v>207</v>
      </c>
      <c r="C89" s="7" t="s">
        <v>208</v>
      </c>
      <c r="D89" s="7" t="s">
        <v>592</v>
      </c>
      <c r="E89" s="7" t="s">
        <v>593</v>
      </c>
      <c r="F89" s="7" t="s">
        <v>278</v>
      </c>
      <c r="G89" s="7" t="s">
        <v>594</v>
      </c>
      <c r="H89" s="7" t="n">
        <v>3</v>
      </c>
      <c r="I89" s="7" t="s">
        <v>78</v>
      </c>
      <c r="J89" s="7" t="s">
        <v>595</v>
      </c>
    </row>
    <row r="90" customFormat="false" ht="27.75" hidden="false" customHeight="true" outlineLevel="0" collapsed="false">
      <c r="A90" s="7" t="s">
        <v>596</v>
      </c>
      <c r="B90" s="7" t="s">
        <v>207</v>
      </c>
      <c r="C90" s="7" t="s">
        <v>208</v>
      </c>
      <c r="D90" s="7" t="s">
        <v>597</v>
      </c>
      <c r="E90" s="7" t="s">
        <v>598</v>
      </c>
      <c r="F90" s="7" t="s">
        <v>278</v>
      </c>
      <c r="G90" s="7" t="s">
        <v>599</v>
      </c>
      <c r="H90" s="7" t="n">
        <v>3</v>
      </c>
      <c r="I90" s="7" t="s">
        <v>78</v>
      </c>
      <c r="J90" s="7" t="s">
        <v>600</v>
      </c>
    </row>
    <row r="91" customFormat="false" ht="27.75" hidden="false" customHeight="true" outlineLevel="0" collapsed="false">
      <c r="A91" s="7" t="s">
        <v>601</v>
      </c>
      <c r="B91" s="7" t="s">
        <v>213</v>
      </c>
      <c r="C91" s="7" t="s">
        <v>214</v>
      </c>
      <c r="D91" s="7" t="s">
        <v>602</v>
      </c>
      <c r="E91" s="7" t="s">
        <v>603</v>
      </c>
      <c r="F91" s="7" t="s">
        <v>278</v>
      </c>
      <c r="G91" s="7"/>
      <c r="H91" s="7" t="n">
        <v>3</v>
      </c>
      <c r="I91" s="7" t="s">
        <v>78</v>
      </c>
      <c r="J91" s="7" t="s">
        <v>604</v>
      </c>
    </row>
    <row r="92" customFormat="false" ht="27.75" hidden="false" customHeight="true" outlineLevel="0" collapsed="false">
      <c r="A92" s="7" t="s">
        <v>605</v>
      </c>
      <c r="B92" s="7" t="s">
        <v>213</v>
      </c>
      <c r="C92" s="7" t="s">
        <v>214</v>
      </c>
      <c r="D92" s="7" t="s">
        <v>606</v>
      </c>
      <c r="E92" s="7" t="s">
        <v>607</v>
      </c>
      <c r="F92" s="7" t="s">
        <v>278</v>
      </c>
      <c r="G92" s="7" t="s">
        <v>608</v>
      </c>
      <c r="H92" s="7" t="n">
        <v>3</v>
      </c>
      <c r="I92" s="7" t="s">
        <v>78</v>
      </c>
      <c r="J92" s="7" t="s">
        <v>609</v>
      </c>
    </row>
    <row r="93" customFormat="false" ht="27.75" hidden="false" customHeight="true" outlineLevel="0" collapsed="false">
      <c r="A93" s="7" t="s">
        <v>610</v>
      </c>
      <c r="B93" s="7" t="s">
        <v>225</v>
      </c>
      <c r="C93" s="7" t="s">
        <v>226</v>
      </c>
      <c r="D93" s="7" t="s">
        <v>611</v>
      </c>
      <c r="E93" s="7" t="s">
        <v>612</v>
      </c>
      <c r="F93" s="7" t="s">
        <v>278</v>
      </c>
      <c r="G93" s="7" t="s">
        <v>613</v>
      </c>
      <c r="H93" s="7" t="n">
        <v>4</v>
      </c>
      <c r="I93" s="7" t="s">
        <v>78</v>
      </c>
      <c r="J93" s="7" t="s">
        <v>614</v>
      </c>
    </row>
    <row r="94" customFormat="false" ht="27.75" hidden="false" customHeight="true" outlineLevel="0" collapsed="false">
      <c r="A94" s="7" t="s">
        <v>615</v>
      </c>
      <c r="B94" s="7" t="s">
        <v>232</v>
      </c>
      <c r="C94" s="7" t="s">
        <v>233</v>
      </c>
      <c r="D94" s="7" t="s">
        <v>616</v>
      </c>
      <c r="E94" s="7" t="s">
        <v>617</v>
      </c>
      <c r="F94" s="7" t="s">
        <v>278</v>
      </c>
      <c r="G94" s="7"/>
      <c r="H94" s="7" t="n">
        <v>4</v>
      </c>
      <c r="I94" s="7" t="s">
        <v>78</v>
      </c>
      <c r="J94" s="7" t="s">
        <v>618</v>
      </c>
    </row>
    <row r="95" customFormat="false" ht="27.75" hidden="false" customHeight="true" outlineLevel="0" collapsed="false">
      <c r="A95" s="7" t="s">
        <v>619</v>
      </c>
      <c r="B95" s="7" t="s">
        <v>237</v>
      </c>
      <c r="C95" s="7" t="s">
        <v>238</v>
      </c>
      <c r="D95" s="7" t="s">
        <v>620</v>
      </c>
      <c r="E95" s="7" t="s">
        <v>621</v>
      </c>
      <c r="F95" s="7" t="s">
        <v>278</v>
      </c>
      <c r="G95" s="7" t="s">
        <v>622</v>
      </c>
      <c r="H95" s="7" t="n">
        <v>4</v>
      </c>
      <c r="I95" s="7" t="s">
        <v>78</v>
      </c>
      <c r="J95" s="7" t="s">
        <v>623</v>
      </c>
    </row>
    <row r="96" customFormat="false" ht="27.75" hidden="false" customHeight="true" outlineLevel="0" collapsed="false">
      <c r="A96" s="7" t="s">
        <v>624</v>
      </c>
      <c r="B96" s="7" t="s">
        <v>244</v>
      </c>
      <c r="C96" s="7" t="s">
        <v>245</v>
      </c>
      <c r="D96" s="7" t="s">
        <v>625</v>
      </c>
      <c r="E96" s="7" t="s">
        <v>626</v>
      </c>
      <c r="F96" s="7" t="s">
        <v>278</v>
      </c>
      <c r="G96" s="7"/>
      <c r="H96" s="7" t="n">
        <v>4</v>
      </c>
      <c r="I96" s="7" t="s">
        <v>78</v>
      </c>
      <c r="J96" s="7" t="s">
        <v>627</v>
      </c>
    </row>
    <row r="97" customFormat="false" ht="27.75" hidden="false" customHeight="true" outlineLevel="0" collapsed="false">
      <c r="A97" s="7" t="s">
        <v>628</v>
      </c>
      <c r="B97" s="7" t="s">
        <v>250</v>
      </c>
      <c r="C97" s="7" t="s">
        <v>251</v>
      </c>
      <c r="D97" s="7" t="s">
        <v>629</v>
      </c>
      <c r="E97" s="7" t="s">
        <v>630</v>
      </c>
      <c r="F97" s="7" t="s">
        <v>278</v>
      </c>
      <c r="G97" s="7"/>
      <c r="H97" s="7" t="n">
        <v>4</v>
      </c>
      <c r="I97" s="7" t="s">
        <v>78</v>
      </c>
      <c r="J97" s="7" t="s">
        <v>631</v>
      </c>
    </row>
  </sheetData>
  <mergeCells count="8">
    <mergeCell ref="A1:J1"/>
    <mergeCell ref="A2:J2"/>
    <mergeCell ref="A4:J4"/>
    <mergeCell ref="A5:J5"/>
    <mergeCell ref="A6:J6"/>
    <mergeCell ref="A7:J7"/>
    <mergeCell ref="A8:J8"/>
    <mergeCell ref="A9:J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A6B"/>
    <pageSetUpPr fitToPage="false"/>
  </sheetPr>
  <dimension ref="A1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52"/>
  </cols>
  <sheetData>
    <row r="1" customFormat="false" ht="30" hidden="false" customHeight="true" outlineLevel="0" collapsed="false">
      <c r="A1" s="1" t="s">
        <v>632</v>
      </c>
      <c r="B1" s="1"/>
      <c r="C1" s="1"/>
      <c r="D1" s="1"/>
    </row>
    <row r="2" customFormat="false" ht="18" hidden="false" customHeight="true" outlineLevel="0" collapsed="false">
      <c r="A2" s="2" t="s">
        <v>633</v>
      </c>
      <c r="B2" s="2"/>
      <c r="C2" s="2"/>
      <c r="D2" s="2"/>
    </row>
    <row r="4" customFormat="false" ht="13.5" hidden="false" customHeight="true" outlineLevel="0" collapsed="false">
      <c r="A4" s="3" t="s">
        <v>2</v>
      </c>
      <c r="B4" s="3"/>
      <c r="C4" s="3"/>
      <c r="D4" s="3"/>
    </row>
    <row r="5" customFormat="false" ht="13.5" hidden="false" customHeight="true" outlineLevel="0" collapsed="false">
      <c r="A5" s="4" t="s">
        <v>634</v>
      </c>
      <c r="B5" s="4"/>
      <c r="C5" s="4"/>
      <c r="D5" s="4"/>
    </row>
    <row r="6" customFormat="false" ht="13.5" hidden="false" customHeight="true" outlineLevel="0" collapsed="false">
      <c r="A6" s="4" t="s">
        <v>635</v>
      </c>
      <c r="B6" s="4"/>
      <c r="C6" s="4"/>
      <c r="D6" s="4"/>
    </row>
    <row r="7" customFormat="false" ht="13.5" hidden="false" customHeight="true" outlineLevel="0" collapsed="false">
      <c r="A7" s="4" t="s">
        <v>636</v>
      </c>
      <c r="B7" s="4"/>
      <c r="C7" s="4"/>
      <c r="D7" s="4"/>
    </row>
    <row r="9" customFormat="false" ht="19.5" hidden="false" customHeight="true" outlineLevel="0" collapsed="false">
      <c r="A9" s="5" t="s">
        <v>637</v>
      </c>
      <c r="B9" s="5"/>
      <c r="C9" s="5"/>
      <c r="D9" s="5"/>
    </row>
    <row r="10" customFormat="false" ht="19.5" hidden="false" customHeight="true" outlineLevel="0" collapsed="false">
      <c r="A10" s="6" t="s">
        <v>36</v>
      </c>
      <c r="B10" s="14" t="n">
        <f aca="false">COUNTA(tblBrands[Brand ID])</f>
        <v>29</v>
      </c>
      <c r="C10" s="8" t="s">
        <v>638</v>
      </c>
      <c r="D10" s="8"/>
    </row>
    <row r="11" customFormat="false" ht="19.5" hidden="false" customHeight="true" outlineLevel="0" collapsed="false">
      <c r="A11" s="6" t="s">
        <v>38</v>
      </c>
      <c r="B11" s="14" t="n">
        <f aca="false">COUNTA(tblModels[Model ID])</f>
        <v>84</v>
      </c>
      <c r="C11" s="8" t="s">
        <v>639</v>
      </c>
      <c r="D11" s="8"/>
    </row>
    <row r="12" customFormat="false" ht="19.5" hidden="false" customHeight="true" outlineLevel="0" collapsed="false">
      <c r="A12" s="6" t="s">
        <v>39</v>
      </c>
      <c r="B12" s="14" t="n">
        <f aca="false">COUNTIF(tblBrands[Status],"active")</f>
        <v>28</v>
      </c>
      <c r="C12" s="8" t="s">
        <v>640</v>
      </c>
      <c r="D12" s="8"/>
    </row>
    <row r="13" customFormat="false" ht="19.5" hidden="false" customHeight="true" outlineLevel="0" collapsed="false">
      <c r="A13" s="6" t="s">
        <v>40</v>
      </c>
      <c r="B13" s="14" t="n">
        <f aca="false">COUNTIF(tblModels[Status],"active")</f>
        <v>84</v>
      </c>
      <c r="C13" s="8" t="s">
        <v>641</v>
      </c>
      <c r="D13" s="8"/>
    </row>
    <row r="14" customFormat="false" ht="19.5" hidden="false" customHeight="true" outlineLevel="0" collapsed="false">
      <c r="A14" s="6" t="s">
        <v>642</v>
      </c>
      <c r="B14" s="14" t="n">
        <f aca="false">COUNTIF(tblBrands[Status],"draft")</f>
        <v>1</v>
      </c>
      <c r="C14" s="8" t="s">
        <v>643</v>
      </c>
      <c r="D14" s="8"/>
    </row>
    <row r="15" customFormat="false" ht="19.5" hidden="false" customHeight="true" outlineLevel="0" collapsed="false">
      <c r="A15" s="6" t="s">
        <v>644</v>
      </c>
      <c r="B15" s="14" t="n">
        <f aca="false">COUNTIF(tblModels[Status],"draft")</f>
        <v>0</v>
      </c>
      <c r="C15" s="8" t="s">
        <v>643</v>
      </c>
      <c r="D15" s="8"/>
    </row>
    <row r="16" customFormat="false" ht="19.5" hidden="false" customHeight="true" outlineLevel="0" collapsed="false">
      <c r="A16" s="6" t="s">
        <v>645</v>
      </c>
      <c r="B16" s="14" t="n">
        <f aca="false">COUNTIF(tblBrands[Popularity Algeria],1)</f>
        <v>6</v>
      </c>
      <c r="C16" s="8" t="s">
        <v>646</v>
      </c>
      <c r="D16" s="8"/>
    </row>
    <row r="17" customFormat="false" ht="19.5" hidden="false" customHeight="true" outlineLevel="0" collapsed="false">
      <c r="A17" s="6" t="s">
        <v>647</v>
      </c>
      <c r="B17" s="14" t="n">
        <f aca="false">COUNTIF(tblModels[Popularity Algeria],1)</f>
        <v>17</v>
      </c>
      <c r="C17" s="8" t="s">
        <v>648</v>
      </c>
      <c r="D17" s="8"/>
    </row>
    <row r="19" customFormat="false" ht="19.5" hidden="false" customHeight="true" outlineLevel="0" collapsed="false">
      <c r="A19" s="5" t="s">
        <v>649</v>
      </c>
      <c r="B19" s="5"/>
      <c r="C19" s="5"/>
      <c r="D19" s="5"/>
    </row>
    <row r="20" customFormat="false" ht="21.75" hidden="false" customHeight="true" outlineLevel="0" collapsed="false">
      <c r="A20" s="13" t="s">
        <v>64</v>
      </c>
      <c r="B20" s="13" t="s">
        <v>650</v>
      </c>
      <c r="C20" s="13" t="s">
        <v>40</v>
      </c>
      <c r="D20" s="13" t="s">
        <v>651</v>
      </c>
    </row>
    <row r="21" customFormat="false" ht="19.5" hidden="false" customHeight="true" outlineLevel="0" collapsed="false">
      <c r="A21" s="15" t="str">
        <f aca="false">IFERROR(INDEX(tblBrands[Brand Name],1),"")</f>
        <v>Iveco</v>
      </c>
      <c r="B21" s="16" t="n">
        <f aca="false">IF(A21="","",COUNTIF(tblModels[Brand Name],A21))</f>
        <v>5</v>
      </c>
      <c r="C21" s="16" t="n">
        <f aca="false">IF(A21="","",COUNTIFS(tblModels[Brand Name],A21,tblModels[Status],"active"))</f>
        <v>5</v>
      </c>
      <c r="D21" s="8" t="s">
        <v>652</v>
      </c>
    </row>
    <row r="22" customFormat="false" ht="19.5" hidden="false" customHeight="true" outlineLevel="0" collapsed="false">
      <c r="A22" s="15" t="str">
        <f aca="false">IFERROR(INDEX(tblBrands[Brand Name],2),"")</f>
        <v>Mercedes-Benz</v>
      </c>
      <c r="B22" s="16" t="n">
        <f aca="false">IF(A22="","",COUNTIF(tblModels[Brand Name],A22))</f>
        <v>6</v>
      </c>
      <c r="C22" s="16" t="n">
        <f aca="false">IF(A22="","",COUNTIFS(tblModels[Brand Name],A22,tblModels[Status],"active"))</f>
        <v>6</v>
      </c>
      <c r="D22" s="8"/>
    </row>
    <row r="23" customFormat="false" ht="19.5" hidden="false" customHeight="true" outlineLevel="0" collapsed="false">
      <c r="A23" s="15" t="str">
        <f aca="false">IFERROR(INDEX(tblBrands[Brand Name],3),"")</f>
        <v>Renault Trucks</v>
      </c>
      <c r="B23" s="16" t="n">
        <f aca="false">IF(A23="","",COUNTIF(tblModels[Brand Name],A23))</f>
        <v>9</v>
      </c>
      <c r="C23" s="16" t="n">
        <f aca="false">IF(A23="","",COUNTIFS(tblModels[Brand Name],A23,tblModels[Status],"active"))</f>
        <v>9</v>
      </c>
      <c r="D23" s="8"/>
    </row>
    <row r="24" customFormat="false" ht="19.5" hidden="false" customHeight="true" outlineLevel="0" collapsed="false">
      <c r="A24" s="15" t="str">
        <f aca="false">IFERROR(INDEX(tblBrands[Brand Name],4),"")</f>
        <v>Shacman</v>
      </c>
      <c r="B24" s="16" t="n">
        <f aca="false">IF(A24="","",COUNTIF(tblModels[Brand Name],A24))</f>
        <v>4</v>
      </c>
      <c r="C24" s="16" t="n">
        <f aca="false">IF(A24="","",COUNTIFS(tblModels[Brand Name],A24,tblModels[Status],"active"))</f>
        <v>4</v>
      </c>
      <c r="D24" s="8"/>
    </row>
    <row r="25" customFormat="false" ht="19.5" hidden="false" customHeight="true" outlineLevel="0" collapsed="false">
      <c r="A25" s="15" t="str">
        <f aca="false">IFERROR(INDEX(tblBrands[Brand Name],5),"")</f>
        <v>SNVI</v>
      </c>
      <c r="B25" s="16" t="n">
        <f aca="false">IF(A25="","",COUNTIF(tblModels[Brand Name],A25))</f>
        <v>6</v>
      </c>
      <c r="C25" s="16" t="n">
        <f aca="false">IF(A25="","",COUNTIFS(tblModels[Brand Name],A25,tblModels[Status],"active"))</f>
        <v>6</v>
      </c>
      <c r="D25" s="8"/>
    </row>
    <row r="26" customFormat="false" ht="19.5" hidden="false" customHeight="true" outlineLevel="0" collapsed="false">
      <c r="A26" s="15" t="str">
        <f aca="false">IFERROR(INDEX(tblBrands[Brand Name],6),"")</f>
        <v>Volvo Trucks</v>
      </c>
      <c r="B26" s="16" t="n">
        <f aca="false">IF(A26="","",COUNTIF(tblModels[Brand Name],A26))</f>
        <v>5</v>
      </c>
      <c r="C26" s="16" t="n">
        <f aca="false">IF(A26="","",COUNTIFS(tblModels[Brand Name],A26,tblModels[Status],"active"))</f>
        <v>5</v>
      </c>
      <c r="D26" s="8"/>
    </row>
    <row r="27" customFormat="false" ht="19.5" hidden="false" customHeight="true" outlineLevel="0" collapsed="false">
      <c r="A27" s="15" t="str">
        <f aca="false">IFERROR(INDEX(tblBrands[Brand Name],7),"")</f>
        <v>Berliet</v>
      </c>
      <c r="B27" s="16" t="n">
        <f aca="false">IF(A27="","",COUNTIF(tblModels[Brand Name],A27))</f>
        <v>4</v>
      </c>
      <c r="C27" s="16" t="n">
        <f aca="false">IF(A27="","",COUNTIFS(tblModels[Brand Name],A27,tblModels[Status],"active"))</f>
        <v>4</v>
      </c>
      <c r="D27" s="8"/>
    </row>
    <row r="28" customFormat="false" ht="19.5" hidden="false" customHeight="true" outlineLevel="0" collapsed="false">
      <c r="A28" s="15" t="str">
        <f aca="false">IFERROR(INDEX(tblBrands[Brand Name],8),"")</f>
        <v>FAW</v>
      </c>
      <c r="B28" s="16" t="n">
        <f aca="false">IF(A28="","",COUNTIF(tblModels[Brand Name],A28))</f>
        <v>3</v>
      </c>
      <c r="C28" s="16" t="n">
        <f aca="false">IF(A28="","",COUNTIFS(tblModels[Brand Name],A28,tblModels[Status],"active"))</f>
        <v>3</v>
      </c>
      <c r="D28" s="8"/>
    </row>
    <row r="29" customFormat="false" ht="19.5" hidden="false" customHeight="true" outlineLevel="0" collapsed="false">
      <c r="A29" s="15" t="str">
        <f aca="false">IFERROR(INDEX(tblBrands[Brand Name],9),"")</f>
        <v>Ford Trucks</v>
      </c>
      <c r="B29" s="16" t="n">
        <f aca="false">IF(A29="","",COUNTIF(tblModels[Brand Name],A29))</f>
        <v>2</v>
      </c>
      <c r="C29" s="16" t="n">
        <f aca="false">IF(A29="","",COUNTIFS(tblModels[Brand Name],A29,tblModels[Status],"active"))</f>
        <v>2</v>
      </c>
      <c r="D29" s="8"/>
    </row>
    <row r="30" customFormat="false" ht="19.5" hidden="false" customHeight="true" outlineLevel="0" collapsed="false">
      <c r="A30" s="15" t="str">
        <f aca="false">IFERROR(INDEX(tblBrands[Brand Name],10),"")</f>
        <v>Hyundai</v>
      </c>
      <c r="B30" s="16" t="n">
        <f aca="false">IF(A30="","",COUNTIF(tblModels[Brand Name],A30))</f>
        <v>3</v>
      </c>
      <c r="C30" s="16" t="n">
        <f aca="false">IF(A30="","",COUNTIFS(tblModels[Brand Name],A30,tblModels[Status],"active"))</f>
        <v>3</v>
      </c>
      <c r="D30" s="8"/>
    </row>
    <row r="31" customFormat="false" ht="19.5" hidden="false" customHeight="true" outlineLevel="0" collapsed="false">
      <c r="A31" s="15" t="str">
        <f aca="false">IFERROR(INDEX(tblBrands[Brand Name],11),"")</f>
        <v>Isuzu</v>
      </c>
      <c r="B31" s="16" t="n">
        <f aca="false">IF(A31="","",COUNTIF(tblModels[Brand Name],A31))</f>
        <v>3</v>
      </c>
      <c r="C31" s="16" t="n">
        <f aca="false">IF(A31="","",COUNTIFS(tblModels[Brand Name],A31,tblModels[Status],"active"))</f>
        <v>3</v>
      </c>
      <c r="D31" s="8"/>
    </row>
    <row r="32" customFormat="false" ht="19.5" hidden="false" customHeight="true" outlineLevel="0" collapsed="false">
      <c r="A32" s="15" t="str">
        <f aca="false">IFERROR(INDEX(tblBrands[Brand Name],12),"")</f>
        <v>KamAZ</v>
      </c>
      <c r="B32" s="16" t="n">
        <f aca="false">IF(A32="","",COUNTIF(tblModels[Brand Name],A32))</f>
        <v>4</v>
      </c>
      <c r="C32" s="16" t="n">
        <f aca="false">IF(A32="","",COUNTIFS(tblModels[Brand Name],A32,tblModels[Status],"active"))</f>
        <v>4</v>
      </c>
      <c r="D32" s="8"/>
    </row>
    <row r="34" customFormat="false" ht="19.5" hidden="false" customHeight="true" outlineLevel="0" collapsed="false">
      <c r="A34" s="5" t="s">
        <v>653</v>
      </c>
      <c r="B34" s="5"/>
      <c r="C34" s="5"/>
      <c r="D34" s="5"/>
    </row>
    <row r="35" customFormat="false" ht="15" hidden="false" customHeight="true" outlineLevel="0" collapsed="false">
      <c r="A35" s="17" t="s">
        <v>654</v>
      </c>
      <c r="B35" s="17"/>
      <c r="C35" s="17"/>
      <c r="D35" s="17"/>
    </row>
    <row r="36" customFormat="false" ht="15" hidden="false" customHeight="true" outlineLevel="0" collapsed="false">
      <c r="A36" s="6" t="s">
        <v>655</v>
      </c>
      <c r="B36" s="14" t="n">
        <f aca="false">COUNTIF(tblModels[Popularity Algeria],1)</f>
        <v>17</v>
      </c>
      <c r="C36" s="8" t="s">
        <v>656</v>
      </c>
      <c r="D36" s="8"/>
    </row>
    <row r="37" customFormat="false" ht="15" hidden="false" customHeight="true" outlineLevel="0" collapsed="false">
      <c r="A37" s="6" t="s">
        <v>657</v>
      </c>
      <c r="B37" s="14" t="str">
        <f aca="false">IFERROR(INDEX(tblModels[Model Name],MATCH(1,tblModels[Popularity Algeria],0)),"—")</f>
        <v>Trakker</v>
      </c>
      <c r="C37" s="8" t="s">
        <v>658</v>
      </c>
      <c r="D37" s="8"/>
    </row>
    <row r="39" customFormat="false" ht="19.5" hidden="false" customHeight="true" outlineLevel="0" collapsed="false">
      <c r="A39" s="5" t="s">
        <v>659</v>
      </c>
      <c r="B39" s="5"/>
      <c r="C39" s="5"/>
      <c r="D39" s="5"/>
    </row>
    <row r="40" customFormat="false" ht="19.5" hidden="false" customHeight="true" outlineLevel="0" collapsed="false">
      <c r="A40" s="6" t="s">
        <v>660</v>
      </c>
      <c r="B40" s="14" t="n">
        <f aca="false">COUNTIF(tblBrands[Popularity Algeria],1)</f>
        <v>6</v>
      </c>
      <c r="C40" s="8" t="s">
        <v>661</v>
      </c>
      <c r="D40" s="8"/>
    </row>
    <row r="41" customFormat="false" ht="19.5" hidden="false" customHeight="true" outlineLevel="0" collapsed="false">
      <c r="A41" s="6" t="s">
        <v>662</v>
      </c>
      <c r="B41" s="14" t="n">
        <f aca="false">COUNTIF(tblBrands[Popularity Algeria],2)</f>
        <v>9</v>
      </c>
      <c r="C41" s="8" t="s">
        <v>663</v>
      </c>
      <c r="D41" s="8"/>
    </row>
    <row r="42" customFormat="false" ht="19.5" hidden="false" customHeight="true" outlineLevel="0" collapsed="false">
      <c r="A42" s="6" t="s">
        <v>664</v>
      </c>
      <c r="B42" s="14" t="n">
        <f aca="false">COUNTIF(tblBrands[Popularity Algeria],3)</f>
        <v>9</v>
      </c>
      <c r="C42" s="8" t="s">
        <v>665</v>
      </c>
      <c r="D42" s="8"/>
    </row>
    <row r="43" customFormat="false" ht="19.5" hidden="false" customHeight="true" outlineLevel="0" collapsed="false">
      <c r="A43" s="6" t="s">
        <v>666</v>
      </c>
      <c r="B43" s="14" t="n">
        <f aca="false">COUNTIF(tblBrands[Popularity Algeria],4)</f>
        <v>5</v>
      </c>
      <c r="C43" s="8" t="s">
        <v>667</v>
      </c>
      <c r="D43" s="8"/>
    </row>
    <row r="44" customFormat="false" ht="19.5" hidden="false" customHeight="true" outlineLevel="0" collapsed="false">
      <c r="A44" s="6" t="s">
        <v>668</v>
      </c>
      <c r="B44" s="14" t="n">
        <f aca="false">COUNTIF(tblModels[Popularity Algeria],1)</f>
        <v>17</v>
      </c>
      <c r="C44" s="8" t="s">
        <v>661</v>
      </c>
      <c r="D44" s="8"/>
    </row>
    <row r="45" customFormat="false" ht="19.5" hidden="false" customHeight="true" outlineLevel="0" collapsed="false">
      <c r="A45" s="6" t="s">
        <v>669</v>
      </c>
      <c r="B45" s="14" t="n">
        <f aca="false">COUNTIF(tblModels[Popularity Algeria],2)</f>
        <v>34</v>
      </c>
      <c r="C45" s="8" t="s">
        <v>663</v>
      </c>
      <c r="D45" s="8"/>
    </row>
    <row r="46" customFormat="false" ht="19.5" hidden="false" customHeight="true" outlineLevel="0" collapsed="false">
      <c r="A46" s="6" t="s">
        <v>670</v>
      </c>
      <c r="B46" s="14" t="n">
        <f aca="false">COUNTIF(tblModels[Popularity Algeria],3)</f>
        <v>28</v>
      </c>
      <c r="C46" s="8" t="s">
        <v>665</v>
      </c>
      <c r="D46" s="8"/>
    </row>
    <row r="47" customFormat="false" ht="19.5" hidden="false" customHeight="true" outlineLevel="0" collapsed="false">
      <c r="A47" s="6" t="s">
        <v>671</v>
      </c>
      <c r="B47" s="14" t="n">
        <f aca="false">COUNTIF(tblModels[Popularity Algeria],4)</f>
        <v>5</v>
      </c>
      <c r="C47" s="8" t="s">
        <v>667</v>
      </c>
      <c r="D47" s="8"/>
    </row>
    <row r="48" customFormat="false" ht="19.5" hidden="false" customHeight="true" outlineLevel="0" collapsed="false">
      <c r="A48" s="6" t="s">
        <v>672</v>
      </c>
      <c r="B48" s="14" t="n">
        <f aca="false">SUMPRODUCT(--(COUNTIF(tblModels[Brand ID],tblBrands[Brand ID])&gt;0))</f>
        <v>28</v>
      </c>
      <c r="C48" s="8" t="s">
        <v>673</v>
      </c>
      <c r="D48" s="8"/>
    </row>
    <row r="49" customFormat="false" ht="19.5" hidden="false" customHeight="true" outlineLevel="0" collapsed="false">
      <c r="A49" s="6" t="s">
        <v>674</v>
      </c>
      <c r="B49" s="14" t="n">
        <f aca="false">ROUND(COUNTA(tblModels[Model ID])/COUNTA(tblBrands[Brand ID]),1)</f>
        <v>2.9</v>
      </c>
      <c r="C49" s="8" t="s">
        <v>675</v>
      </c>
      <c r="D49" s="8"/>
    </row>
  </sheetData>
  <mergeCells count="31">
    <mergeCell ref="A1:D1"/>
    <mergeCell ref="A2:D2"/>
    <mergeCell ref="A4:D4"/>
    <mergeCell ref="A5:D5"/>
    <mergeCell ref="A6:D6"/>
    <mergeCell ref="A7:D7"/>
    <mergeCell ref="A9:D9"/>
    <mergeCell ref="C10:D10"/>
    <mergeCell ref="C11:D11"/>
    <mergeCell ref="C12:D12"/>
    <mergeCell ref="C13:D13"/>
    <mergeCell ref="C14:D14"/>
    <mergeCell ref="C15:D15"/>
    <mergeCell ref="C16:D16"/>
    <mergeCell ref="C17:D17"/>
    <mergeCell ref="A19:D19"/>
    <mergeCell ref="A34:D34"/>
    <mergeCell ref="A35:D35"/>
    <mergeCell ref="C36:D36"/>
    <mergeCell ref="C37:D37"/>
    <mergeCell ref="A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A6B"/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4" min="4" style="0" width="44"/>
  </cols>
  <sheetData>
    <row r="1" customFormat="false" ht="30" hidden="false" customHeight="true" outlineLevel="0" collapsed="false">
      <c r="A1" s="1" t="s">
        <v>676</v>
      </c>
      <c r="B1" s="1"/>
      <c r="C1" s="1"/>
      <c r="D1" s="1"/>
    </row>
    <row r="2" customFormat="false" ht="18" hidden="false" customHeight="true" outlineLevel="0" collapsed="false">
      <c r="A2" s="2" t="s">
        <v>677</v>
      </c>
      <c r="B2" s="2"/>
      <c r="C2" s="2"/>
      <c r="D2" s="2"/>
    </row>
    <row r="4" customFormat="false" ht="13.5" hidden="false" customHeight="true" outlineLevel="0" collapsed="false">
      <c r="A4" s="3" t="s">
        <v>2</v>
      </c>
      <c r="B4" s="3"/>
      <c r="C4" s="3"/>
      <c r="D4" s="3"/>
    </row>
    <row r="5" customFormat="false" ht="25.5" hidden="false" customHeight="true" outlineLevel="0" collapsed="false">
      <c r="A5" s="4" t="s">
        <v>678</v>
      </c>
      <c r="B5" s="4"/>
      <c r="C5" s="4"/>
      <c r="D5" s="4"/>
    </row>
    <row r="6" customFormat="false" ht="13.5" hidden="false" customHeight="true" outlineLevel="0" collapsed="false">
      <c r="A6" s="4" t="s">
        <v>679</v>
      </c>
      <c r="B6" s="4"/>
      <c r="C6" s="4"/>
      <c r="D6" s="4"/>
    </row>
    <row r="7" customFormat="false" ht="13.5" hidden="false" customHeight="true" outlineLevel="0" collapsed="false">
      <c r="A7" s="4" t="s">
        <v>680</v>
      </c>
      <c r="B7" s="4"/>
      <c r="C7" s="4"/>
      <c r="D7" s="4"/>
    </row>
    <row r="9" customFormat="false" ht="19.5" hidden="false" customHeight="true" outlineLevel="0" collapsed="false">
      <c r="A9" s="5" t="s">
        <v>681</v>
      </c>
      <c r="B9" s="5"/>
      <c r="C9" s="5"/>
      <c r="D9" s="5"/>
    </row>
    <row r="10" customFormat="false" ht="25.5" hidden="false" customHeight="true" outlineLevel="0" collapsed="false">
      <c r="A10" s="18" t="s">
        <v>682</v>
      </c>
      <c r="B10" s="19" t="s">
        <v>683</v>
      </c>
      <c r="C10" s="19"/>
      <c r="D10" s="19"/>
    </row>
    <row r="11" customFormat="false" ht="15.75" hidden="false" customHeight="true" outlineLevel="0" collapsed="false">
      <c r="A11" s="20" t="s">
        <v>684</v>
      </c>
      <c r="B11" s="20"/>
      <c r="C11" s="20"/>
      <c r="D11" s="20"/>
    </row>
    <row r="12" customFormat="false" ht="25.5" hidden="false" customHeight="true" outlineLevel="0" collapsed="false">
      <c r="A12" s="18" t="s">
        <v>685</v>
      </c>
      <c r="B12" s="19" t="s">
        <v>686</v>
      </c>
      <c r="C12" s="19"/>
      <c r="D12" s="19"/>
    </row>
    <row r="13" customFormat="false" ht="15.75" hidden="false" customHeight="true" outlineLevel="0" collapsed="false">
      <c r="A13" s="20" t="s">
        <v>684</v>
      </c>
      <c r="B13" s="20"/>
      <c r="C13" s="20"/>
      <c r="D13" s="20"/>
    </row>
    <row r="14" customFormat="false" ht="25.5" hidden="false" customHeight="true" outlineLevel="0" collapsed="false">
      <c r="A14" s="18" t="s">
        <v>687</v>
      </c>
      <c r="B14" s="19" t="s">
        <v>688</v>
      </c>
      <c r="C14" s="19"/>
      <c r="D14" s="19"/>
    </row>
    <row r="16" customFormat="false" ht="19.5" hidden="false" customHeight="true" outlineLevel="0" collapsed="false">
      <c r="A16" s="5" t="s">
        <v>689</v>
      </c>
      <c r="B16" s="5"/>
      <c r="C16" s="5"/>
      <c r="D16" s="5"/>
    </row>
    <row r="17" customFormat="false" ht="18" hidden="false" customHeight="true" outlineLevel="0" collapsed="false">
      <c r="A17" s="21" t="s">
        <v>278</v>
      </c>
      <c r="B17" s="21"/>
      <c r="C17" s="22" t="s">
        <v>690</v>
      </c>
      <c r="D17" s="22"/>
    </row>
    <row r="18" customFormat="false" ht="18" hidden="false" customHeight="true" outlineLevel="0" collapsed="false">
      <c r="A18" s="23" t="s">
        <v>691</v>
      </c>
      <c r="B18" s="23"/>
      <c r="C18" s="22" t="s">
        <v>692</v>
      </c>
      <c r="D18" s="22"/>
    </row>
    <row r="19" customFormat="false" ht="18" hidden="false" customHeight="true" outlineLevel="0" collapsed="false">
      <c r="A19" s="24" t="s">
        <v>693</v>
      </c>
      <c r="B19" s="24"/>
      <c r="C19" s="22" t="s">
        <v>694</v>
      </c>
      <c r="D19" s="22"/>
    </row>
    <row r="20" customFormat="false" ht="18" hidden="false" customHeight="true" outlineLevel="0" collapsed="false">
      <c r="A20" s="24" t="s">
        <v>695</v>
      </c>
      <c r="B20" s="24"/>
      <c r="C20" s="22" t="s">
        <v>696</v>
      </c>
      <c r="D20" s="22"/>
    </row>
    <row r="21" customFormat="false" ht="18" hidden="false" customHeight="true" outlineLevel="0" collapsed="false">
      <c r="A21" s="23" t="s">
        <v>697</v>
      </c>
      <c r="B21" s="23"/>
      <c r="C21" s="22" t="s">
        <v>698</v>
      </c>
      <c r="D21" s="22"/>
    </row>
    <row r="22" customFormat="false" ht="18" hidden="false" customHeight="true" outlineLevel="0" collapsed="false">
      <c r="A22" s="24" t="s">
        <v>699</v>
      </c>
      <c r="B22" s="24"/>
      <c r="C22" s="22" t="s">
        <v>700</v>
      </c>
      <c r="D22" s="22"/>
    </row>
    <row r="23" customFormat="false" ht="18" hidden="false" customHeight="true" outlineLevel="0" collapsed="false">
      <c r="A23" s="24" t="s">
        <v>701</v>
      </c>
      <c r="B23" s="24"/>
      <c r="C23" s="22" t="s">
        <v>702</v>
      </c>
      <c r="D23" s="22"/>
    </row>
    <row r="24" customFormat="false" ht="18" hidden="false" customHeight="true" outlineLevel="0" collapsed="false">
      <c r="A24" s="23" t="s">
        <v>703</v>
      </c>
      <c r="B24" s="23"/>
      <c r="C24" s="22" t="s">
        <v>704</v>
      </c>
      <c r="D24" s="22"/>
    </row>
    <row r="25" customFormat="false" ht="18" hidden="false" customHeight="true" outlineLevel="0" collapsed="false">
      <c r="A25" s="24" t="s">
        <v>705</v>
      </c>
      <c r="B25" s="24"/>
      <c r="C25" s="22" t="s">
        <v>706</v>
      </c>
      <c r="D25" s="22"/>
    </row>
  </sheetData>
  <mergeCells count="31">
    <mergeCell ref="A1:D1"/>
    <mergeCell ref="A2:D2"/>
    <mergeCell ref="A4:D4"/>
    <mergeCell ref="A5:D5"/>
    <mergeCell ref="A6:D6"/>
    <mergeCell ref="A7:D7"/>
    <mergeCell ref="A9:D9"/>
    <mergeCell ref="B10:D10"/>
    <mergeCell ref="A11:D11"/>
    <mergeCell ref="B12:D12"/>
    <mergeCell ref="A13:D13"/>
    <mergeCell ref="B14:D14"/>
    <mergeCell ref="A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A6B"/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20"/>
    <col collapsed="false" customWidth="true" hidden="false" outlineLevel="0" max="6" min="6" style="0" width="44"/>
  </cols>
  <sheetData>
    <row r="1" customFormat="false" ht="30" hidden="false" customHeight="true" outlineLevel="0" collapsed="false">
      <c r="A1" s="1" t="s">
        <v>707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708</v>
      </c>
      <c r="B2" s="2"/>
      <c r="C2" s="2"/>
      <c r="D2" s="2"/>
      <c r="E2" s="2"/>
      <c r="F2" s="2"/>
    </row>
    <row r="4" customFormat="false" ht="13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3.5" hidden="false" customHeight="true" outlineLevel="0" collapsed="false">
      <c r="A5" s="4" t="s">
        <v>709</v>
      </c>
      <c r="B5" s="4"/>
      <c r="C5" s="4"/>
      <c r="D5" s="4"/>
      <c r="E5" s="4"/>
      <c r="F5" s="4"/>
    </row>
    <row r="6" customFormat="false" ht="25.5" hidden="false" customHeight="true" outlineLevel="0" collapsed="false">
      <c r="A6" s="4" t="s">
        <v>710</v>
      </c>
      <c r="B6" s="4"/>
      <c r="C6" s="4"/>
      <c r="D6" s="4"/>
      <c r="E6" s="4"/>
      <c r="F6" s="4"/>
    </row>
    <row r="7" customFormat="false" ht="13.5" hidden="false" customHeight="true" outlineLevel="0" collapsed="false">
      <c r="A7" s="4" t="s">
        <v>711</v>
      </c>
      <c r="B7" s="4"/>
      <c r="C7" s="4"/>
      <c r="D7" s="4"/>
      <c r="E7" s="4"/>
      <c r="F7" s="4"/>
    </row>
    <row r="9" customFormat="false" ht="15" hidden="false" customHeight="false" outlineLevel="0" collapsed="false">
      <c r="A9" s="11" t="s">
        <v>53</v>
      </c>
    </row>
    <row r="10" customFormat="false" ht="48" hidden="false" customHeight="true" outlineLevel="0" collapsed="false">
      <c r="A10" s="12" t="s">
        <v>712</v>
      </c>
      <c r="B10" s="12" t="s">
        <v>713</v>
      </c>
      <c r="C10" s="12" t="s">
        <v>714</v>
      </c>
      <c r="D10" s="12" t="s">
        <v>715</v>
      </c>
      <c r="E10" s="12" t="s">
        <v>716</v>
      </c>
      <c r="F10" s="12" t="s">
        <v>717</v>
      </c>
    </row>
    <row r="11" customFormat="false" ht="25.5" hidden="false" customHeight="true" outlineLevel="0" collapsed="false">
      <c r="A11" s="13" t="s">
        <v>718</v>
      </c>
      <c r="B11" s="13" t="s">
        <v>719</v>
      </c>
      <c r="C11" s="13" t="s">
        <v>720</v>
      </c>
      <c r="D11" s="13" t="s">
        <v>721</v>
      </c>
      <c r="E11" s="13" t="s">
        <v>722</v>
      </c>
      <c r="F11" s="13" t="s">
        <v>723</v>
      </c>
    </row>
    <row r="12" customFormat="false" ht="19.5" hidden="false" customHeight="true" outlineLevel="0" collapsed="false">
      <c r="A12" s="7" t="s">
        <v>724</v>
      </c>
      <c r="B12" s="7" t="s">
        <v>11</v>
      </c>
      <c r="C12" s="7" t="s">
        <v>725</v>
      </c>
      <c r="D12" s="7" t="s">
        <v>726</v>
      </c>
      <c r="E12" s="7" t="s">
        <v>727</v>
      </c>
      <c r="F12" s="7" t="s">
        <v>728</v>
      </c>
    </row>
    <row r="13" customFormat="false" ht="19.5" hidden="false" customHeight="true" outlineLevel="0" collapsed="false">
      <c r="A13" s="7" t="s">
        <v>724</v>
      </c>
      <c r="B13" s="7" t="s">
        <v>729</v>
      </c>
      <c r="C13" s="7" t="s">
        <v>725</v>
      </c>
      <c r="D13" s="7" t="s">
        <v>730</v>
      </c>
      <c r="E13" s="7" t="s">
        <v>727</v>
      </c>
      <c r="F13" s="7" t="s">
        <v>731</v>
      </c>
    </row>
    <row r="14" customFormat="false" ht="19.5" hidden="false" customHeight="true" outlineLevel="0" collapsed="false">
      <c r="A14" s="7" t="s">
        <v>732</v>
      </c>
      <c r="B14" s="7" t="s">
        <v>733</v>
      </c>
      <c r="C14" s="7" t="s">
        <v>725</v>
      </c>
      <c r="D14" s="7" t="s">
        <v>734</v>
      </c>
      <c r="E14" s="7" t="s">
        <v>735</v>
      </c>
      <c r="F14" s="7" t="s">
        <v>736</v>
      </c>
    </row>
    <row r="15" customFormat="false" ht="19.5" hidden="false" customHeight="true" outlineLevel="0" collapsed="false">
      <c r="A15" s="7" t="s">
        <v>732</v>
      </c>
      <c r="B15" s="7" t="s">
        <v>733</v>
      </c>
      <c r="C15" s="7" t="s">
        <v>737</v>
      </c>
      <c r="D15" s="7" t="s">
        <v>734</v>
      </c>
      <c r="E15" s="7" t="s">
        <v>735</v>
      </c>
      <c r="F15" s="7" t="s">
        <v>736</v>
      </c>
    </row>
    <row r="16" customFormat="false" ht="19.5" hidden="false" customHeight="true" outlineLevel="0" collapsed="false">
      <c r="A16" s="7" t="s">
        <v>47</v>
      </c>
      <c r="B16" s="7" t="s">
        <v>63</v>
      </c>
      <c r="C16" s="7" t="s">
        <v>737</v>
      </c>
      <c r="D16" s="7" t="s">
        <v>738</v>
      </c>
      <c r="E16" s="7" t="s">
        <v>727</v>
      </c>
      <c r="F16" s="7" t="s">
        <v>739</v>
      </c>
    </row>
    <row r="17" customFormat="false" ht="19.5" hidden="false" customHeight="true" outlineLevel="0" collapsed="false">
      <c r="A17" s="7" t="s">
        <v>47</v>
      </c>
      <c r="B17" s="7" t="s">
        <v>64</v>
      </c>
      <c r="C17" s="7" t="s">
        <v>737</v>
      </c>
      <c r="D17" s="7" t="s">
        <v>726</v>
      </c>
      <c r="E17" s="7" t="s">
        <v>727</v>
      </c>
      <c r="F17" s="7" t="s">
        <v>740</v>
      </c>
    </row>
    <row r="18" customFormat="false" ht="19.5" hidden="false" customHeight="true" outlineLevel="0" collapsed="false">
      <c r="A18" s="7" t="s">
        <v>47</v>
      </c>
      <c r="B18" s="7" t="s">
        <v>65</v>
      </c>
      <c r="C18" s="7" t="s">
        <v>737</v>
      </c>
      <c r="D18" s="7" t="s">
        <v>730</v>
      </c>
      <c r="E18" s="7" t="s">
        <v>727</v>
      </c>
      <c r="F18" s="7" t="s">
        <v>741</v>
      </c>
    </row>
    <row r="19" customFormat="false" ht="19.5" hidden="false" customHeight="true" outlineLevel="0" collapsed="false">
      <c r="A19" s="7" t="s">
        <v>47</v>
      </c>
      <c r="B19" s="7" t="s">
        <v>66</v>
      </c>
      <c r="C19" s="7" t="s">
        <v>737</v>
      </c>
      <c r="D19" s="7" t="s">
        <v>742</v>
      </c>
      <c r="E19" s="7" t="s">
        <v>727</v>
      </c>
      <c r="F19" s="7" t="s">
        <v>743</v>
      </c>
    </row>
    <row r="20" customFormat="false" ht="19.5" hidden="false" customHeight="true" outlineLevel="0" collapsed="false">
      <c r="A20" s="7" t="s">
        <v>47</v>
      </c>
      <c r="B20" s="7" t="s">
        <v>67</v>
      </c>
      <c r="C20" s="7" t="s">
        <v>737</v>
      </c>
      <c r="D20" s="7" t="s">
        <v>744</v>
      </c>
      <c r="E20" s="7" t="s">
        <v>727</v>
      </c>
      <c r="F20" s="7" t="s">
        <v>745</v>
      </c>
    </row>
    <row r="21" customFormat="false" ht="19.5" hidden="false" customHeight="true" outlineLevel="0" collapsed="false">
      <c r="A21" s="7" t="s">
        <v>47</v>
      </c>
      <c r="B21" s="7" t="s">
        <v>68</v>
      </c>
      <c r="C21" s="7" t="s">
        <v>737</v>
      </c>
      <c r="D21" s="7" t="s">
        <v>746</v>
      </c>
      <c r="E21" s="7" t="s">
        <v>747</v>
      </c>
      <c r="F21" s="7" t="s">
        <v>748</v>
      </c>
    </row>
    <row r="22" customFormat="false" ht="19.5" hidden="false" customHeight="true" outlineLevel="0" collapsed="false">
      <c r="A22" s="7" t="s">
        <v>47</v>
      </c>
      <c r="B22" s="7" t="s">
        <v>69</v>
      </c>
      <c r="C22" s="7" t="s">
        <v>737</v>
      </c>
      <c r="D22" s="7" t="s">
        <v>749</v>
      </c>
      <c r="E22" s="7" t="s">
        <v>750</v>
      </c>
      <c r="F22" s="7" t="s">
        <v>751</v>
      </c>
    </row>
    <row r="23" customFormat="false" ht="19.5" hidden="false" customHeight="true" outlineLevel="0" collapsed="false">
      <c r="A23" s="7" t="s">
        <v>47</v>
      </c>
      <c r="B23" s="7" t="s">
        <v>70</v>
      </c>
      <c r="C23" s="7" t="s">
        <v>737</v>
      </c>
      <c r="D23" s="7" t="s">
        <v>752</v>
      </c>
      <c r="E23" s="7" t="s">
        <v>727</v>
      </c>
      <c r="F23" s="7" t="s">
        <v>753</v>
      </c>
    </row>
    <row r="24" customFormat="false" ht="19.5" hidden="false" customHeight="true" outlineLevel="0" collapsed="false">
      <c r="A24" s="7" t="s">
        <v>47</v>
      </c>
      <c r="B24" s="7" t="s">
        <v>71</v>
      </c>
      <c r="C24" s="7" t="s">
        <v>737</v>
      </c>
      <c r="D24" s="7" t="s">
        <v>754</v>
      </c>
      <c r="E24" s="7" t="s">
        <v>727</v>
      </c>
      <c r="F24" s="7" t="s">
        <v>745</v>
      </c>
    </row>
    <row r="25" customFormat="false" ht="19.5" hidden="false" customHeight="true" outlineLevel="0" collapsed="false">
      <c r="A25" s="7" t="s">
        <v>732</v>
      </c>
      <c r="B25" s="7" t="s">
        <v>755</v>
      </c>
      <c r="C25" s="7" t="s">
        <v>737</v>
      </c>
      <c r="D25" s="7" t="s">
        <v>756</v>
      </c>
      <c r="E25" s="7" t="s">
        <v>757</v>
      </c>
      <c r="F25" s="7" t="s">
        <v>758</v>
      </c>
    </row>
    <row r="26" customFormat="false" ht="19.5" hidden="false" customHeight="true" outlineLevel="0" collapsed="false">
      <c r="A26" s="7" t="s">
        <v>732</v>
      </c>
      <c r="B26" s="7" t="s">
        <v>733</v>
      </c>
      <c r="C26" s="7" t="s">
        <v>759</v>
      </c>
      <c r="D26" s="7" t="s">
        <v>734</v>
      </c>
      <c r="E26" s="7" t="s">
        <v>735</v>
      </c>
      <c r="F26" s="7" t="s">
        <v>736</v>
      </c>
    </row>
    <row r="27" customFormat="false" ht="19.5" hidden="false" customHeight="true" outlineLevel="0" collapsed="false">
      <c r="A27" s="7" t="s">
        <v>256</v>
      </c>
      <c r="B27" s="7" t="s">
        <v>272</v>
      </c>
      <c r="C27" s="7" t="s">
        <v>759</v>
      </c>
      <c r="D27" s="7" t="s">
        <v>738</v>
      </c>
      <c r="E27" s="7" t="s">
        <v>727</v>
      </c>
      <c r="F27" s="7" t="s">
        <v>760</v>
      </c>
    </row>
    <row r="28" customFormat="false" ht="19.5" hidden="false" customHeight="true" outlineLevel="0" collapsed="false">
      <c r="A28" s="7" t="s">
        <v>256</v>
      </c>
      <c r="B28" s="7" t="s">
        <v>63</v>
      </c>
      <c r="C28" s="7" t="s">
        <v>759</v>
      </c>
      <c r="D28" s="7" t="s">
        <v>761</v>
      </c>
      <c r="E28" s="7" t="s">
        <v>757</v>
      </c>
      <c r="F28" s="7" t="s">
        <v>762</v>
      </c>
    </row>
    <row r="29" customFormat="false" ht="19.5" hidden="false" customHeight="true" outlineLevel="0" collapsed="false">
      <c r="A29" s="7" t="s">
        <v>256</v>
      </c>
      <c r="B29" s="7" t="s">
        <v>273</v>
      </c>
      <c r="C29" s="7" t="s">
        <v>759</v>
      </c>
      <c r="D29" s="7" t="s">
        <v>726</v>
      </c>
      <c r="E29" s="7" t="s">
        <v>727</v>
      </c>
      <c r="F29" s="7" t="s">
        <v>763</v>
      </c>
    </row>
    <row r="30" customFormat="false" ht="19.5" hidden="false" customHeight="true" outlineLevel="0" collapsed="false">
      <c r="A30" s="7" t="s">
        <v>256</v>
      </c>
      <c r="B30" s="7" t="s">
        <v>65</v>
      </c>
      <c r="C30" s="7" t="s">
        <v>759</v>
      </c>
      <c r="D30" s="7" t="s">
        <v>730</v>
      </c>
      <c r="E30" s="7" t="s">
        <v>727</v>
      </c>
      <c r="F30" s="7" t="s">
        <v>764</v>
      </c>
    </row>
    <row r="31" customFormat="false" ht="19.5" hidden="false" customHeight="true" outlineLevel="0" collapsed="false">
      <c r="A31" s="7" t="s">
        <v>256</v>
      </c>
      <c r="B31" s="7" t="s">
        <v>274</v>
      </c>
      <c r="C31" s="7" t="s">
        <v>759</v>
      </c>
      <c r="D31" s="7" t="s">
        <v>765</v>
      </c>
      <c r="E31" s="7" t="s">
        <v>727</v>
      </c>
      <c r="F31" s="7" t="s">
        <v>766</v>
      </c>
    </row>
    <row r="32" customFormat="false" ht="19.5" hidden="false" customHeight="true" outlineLevel="0" collapsed="false">
      <c r="A32" s="7" t="s">
        <v>256</v>
      </c>
      <c r="B32" s="7" t="s">
        <v>68</v>
      </c>
      <c r="C32" s="7" t="s">
        <v>759</v>
      </c>
      <c r="D32" s="7" t="s">
        <v>746</v>
      </c>
      <c r="E32" s="7" t="s">
        <v>747</v>
      </c>
      <c r="F32" s="7" t="s">
        <v>767</v>
      </c>
    </row>
    <row r="33" customFormat="false" ht="19.5" hidden="false" customHeight="true" outlineLevel="0" collapsed="false">
      <c r="A33" s="7" t="s">
        <v>256</v>
      </c>
      <c r="B33" s="7" t="s">
        <v>69</v>
      </c>
      <c r="C33" s="7" t="s">
        <v>759</v>
      </c>
      <c r="D33" s="7" t="s">
        <v>749</v>
      </c>
      <c r="E33" s="7" t="s">
        <v>750</v>
      </c>
      <c r="F33" s="7" t="s">
        <v>751</v>
      </c>
    </row>
    <row r="34" customFormat="false" ht="19.5" hidden="false" customHeight="true" outlineLevel="0" collapsed="false">
      <c r="A34" s="7" t="s">
        <v>256</v>
      </c>
      <c r="B34" s="7" t="s">
        <v>70</v>
      </c>
      <c r="C34" s="7" t="s">
        <v>759</v>
      </c>
      <c r="D34" s="7" t="s">
        <v>752</v>
      </c>
      <c r="E34" s="7" t="s">
        <v>727</v>
      </c>
      <c r="F34" s="7" t="s">
        <v>753</v>
      </c>
    </row>
    <row r="35" customFormat="false" ht="19.5" hidden="false" customHeight="true" outlineLevel="0" collapsed="false">
      <c r="A35" s="7" t="s">
        <v>256</v>
      </c>
      <c r="B35" s="7" t="s">
        <v>71</v>
      </c>
      <c r="C35" s="7" t="s">
        <v>759</v>
      </c>
      <c r="D35" s="7" t="s">
        <v>754</v>
      </c>
      <c r="E35" s="7" t="s">
        <v>727</v>
      </c>
      <c r="F35" s="7" t="s">
        <v>745</v>
      </c>
    </row>
    <row r="36" customFormat="false" ht="19.5" hidden="false" customHeight="true" outlineLevel="0" collapsed="false">
      <c r="A36" s="7" t="s">
        <v>256</v>
      </c>
      <c r="B36" s="7" t="s">
        <v>64</v>
      </c>
      <c r="C36" s="7" t="s">
        <v>759</v>
      </c>
      <c r="D36" s="7" t="s">
        <v>768</v>
      </c>
      <c r="E36" s="7" t="s">
        <v>732</v>
      </c>
      <c r="F36" s="7" t="s">
        <v>769</v>
      </c>
    </row>
  </sheetData>
  <mergeCells count="6">
    <mergeCell ref="A1:F1"/>
    <mergeCell ref="A2:F2"/>
    <mergeCell ref="A4:F4"/>
    <mergeCell ref="A5:F5"/>
    <mergeCell ref="A6:F6"/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4A6B"/>
    <pageSetUpPr fitToPage="false"/>
  </sheetPr>
  <dimension ref="A1:C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770</v>
      </c>
      <c r="B1" s="1"/>
      <c r="C1" s="1"/>
    </row>
    <row r="2" customFormat="false" ht="18" hidden="false" customHeight="true" outlineLevel="0" collapsed="false">
      <c r="A2" s="2" t="s">
        <v>771</v>
      </c>
      <c r="B2" s="2"/>
      <c r="C2" s="2"/>
    </row>
    <row r="4" customFormat="false" ht="13.5" hidden="false" customHeight="true" outlineLevel="0" collapsed="false">
      <c r="A4" s="3" t="s">
        <v>2</v>
      </c>
      <c r="B4" s="3"/>
      <c r="C4" s="3"/>
    </row>
    <row r="5" customFormat="false" ht="13.5" hidden="false" customHeight="true" outlineLevel="0" collapsed="false">
      <c r="A5" s="4" t="s">
        <v>772</v>
      </c>
      <c r="B5" s="4"/>
      <c r="C5" s="4"/>
    </row>
    <row r="6" customFormat="false" ht="13.5" hidden="false" customHeight="true" outlineLevel="0" collapsed="false">
      <c r="A6" s="4" t="s">
        <v>773</v>
      </c>
      <c r="B6" s="4"/>
      <c r="C6" s="4"/>
    </row>
    <row r="8" customFormat="false" ht="19.5" hidden="false" customHeight="true" outlineLevel="0" collapsed="false">
      <c r="A8" s="5" t="s">
        <v>774</v>
      </c>
      <c r="B8" s="5"/>
      <c r="C8" s="5"/>
    </row>
    <row r="9" customFormat="false" ht="21.75" hidden="false" customHeight="true" outlineLevel="0" collapsed="false">
      <c r="A9" s="13" t="s">
        <v>775</v>
      </c>
      <c r="B9" s="13" t="s">
        <v>776</v>
      </c>
      <c r="C9" s="13" t="s">
        <v>777</v>
      </c>
    </row>
    <row r="10" customFormat="false" ht="18" hidden="false" customHeight="true" outlineLevel="0" collapsed="false">
      <c r="A10" s="25" t="s">
        <v>47</v>
      </c>
      <c r="B10" s="25" t="s">
        <v>778</v>
      </c>
      <c r="C10" s="25" t="s">
        <v>779</v>
      </c>
    </row>
    <row r="11" customFormat="false" ht="25.5" hidden="false" customHeight="true" outlineLevel="0" collapsed="false">
      <c r="A11" s="25" t="s">
        <v>256</v>
      </c>
      <c r="B11" s="25" t="s">
        <v>780</v>
      </c>
      <c r="C11" s="25" t="s">
        <v>781</v>
      </c>
    </row>
    <row r="12" customFormat="false" ht="18" hidden="false" customHeight="true" outlineLevel="0" collapsed="false">
      <c r="A12" s="25" t="s">
        <v>724</v>
      </c>
      <c r="B12" s="25" t="s">
        <v>782</v>
      </c>
      <c r="C12" s="25" t="s">
        <v>783</v>
      </c>
    </row>
    <row r="14" customFormat="false" ht="19.5" hidden="false" customHeight="true" outlineLevel="0" collapsed="false">
      <c r="A14" s="5" t="s">
        <v>784</v>
      </c>
      <c r="B14" s="5"/>
      <c r="C14" s="5"/>
    </row>
    <row r="15" customFormat="false" ht="21.75" hidden="false" customHeight="true" outlineLevel="0" collapsed="false">
      <c r="A15" s="13" t="s">
        <v>775</v>
      </c>
      <c r="B15" s="13" t="s">
        <v>785</v>
      </c>
      <c r="C15" s="13" t="s">
        <v>786</v>
      </c>
    </row>
    <row r="16" customFormat="false" ht="18" hidden="false" customHeight="true" outlineLevel="0" collapsed="false">
      <c r="A16" s="25" t="s">
        <v>47</v>
      </c>
      <c r="B16" s="25" t="s">
        <v>787</v>
      </c>
      <c r="C16" s="25" t="s">
        <v>788</v>
      </c>
    </row>
    <row r="17" customFormat="false" ht="18" hidden="false" customHeight="true" outlineLevel="0" collapsed="false">
      <c r="A17" s="25" t="s">
        <v>256</v>
      </c>
      <c r="B17" s="25" t="s">
        <v>789</v>
      </c>
      <c r="C17" s="25" t="s">
        <v>790</v>
      </c>
    </row>
    <row r="19" customFormat="false" ht="19.5" hidden="false" customHeight="true" outlineLevel="0" collapsed="false">
      <c r="A19" s="5" t="s">
        <v>791</v>
      </c>
      <c r="B19" s="5"/>
      <c r="C19" s="5"/>
    </row>
    <row r="20" customFormat="false" ht="21.75" hidden="false" customHeight="true" outlineLevel="0" collapsed="false">
      <c r="A20" s="13" t="s">
        <v>23</v>
      </c>
      <c r="B20" s="13" t="s">
        <v>792</v>
      </c>
      <c r="C20" s="13" t="s">
        <v>793</v>
      </c>
    </row>
    <row r="21" customFormat="false" ht="18" hidden="false" customHeight="true" outlineLevel="0" collapsed="false">
      <c r="A21" s="25" t="s">
        <v>794</v>
      </c>
      <c r="B21" s="25" t="s">
        <v>795</v>
      </c>
      <c r="C21" s="25" t="s">
        <v>796</v>
      </c>
    </row>
    <row r="22" customFormat="false" ht="25.5" hidden="false" customHeight="true" outlineLevel="0" collapsed="false">
      <c r="A22" s="25" t="s">
        <v>797</v>
      </c>
      <c r="B22" s="25" t="s">
        <v>798</v>
      </c>
      <c r="C22" s="25" t="s">
        <v>796</v>
      </c>
    </row>
    <row r="23" customFormat="false" ht="25.5" hidden="false" customHeight="true" outlineLevel="0" collapsed="false">
      <c r="A23" s="25" t="s">
        <v>799</v>
      </c>
      <c r="B23" s="25" t="s">
        <v>800</v>
      </c>
      <c r="C23" s="25" t="s">
        <v>801</v>
      </c>
    </row>
    <row r="25" customFormat="false" ht="19.5" hidden="false" customHeight="true" outlineLevel="0" collapsed="false">
      <c r="A25" s="5" t="s">
        <v>802</v>
      </c>
      <c r="B25" s="5"/>
      <c r="C25" s="5"/>
    </row>
    <row r="26" customFormat="false" ht="21.75" hidden="false" customHeight="true" outlineLevel="0" collapsed="false">
      <c r="A26" s="13" t="s">
        <v>803</v>
      </c>
      <c r="B26" s="13" t="s">
        <v>804</v>
      </c>
      <c r="C26" s="13" t="s">
        <v>805</v>
      </c>
    </row>
    <row r="27" customFormat="false" ht="39" hidden="false" customHeight="true" outlineLevel="0" collapsed="false">
      <c r="A27" s="25" t="s">
        <v>806</v>
      </c>
      <c r="B27" s="25" t="s">
        <v>807</v>
      </c>
      <c r="C27" s="25" t="s">
        <v>808</v>
      </c>
    </row>
    <row r="28" customFormat="false" ht="25.5" hidden="false" customHeight="true" outlineLevel="0" collapsed="false">
      <c r="A28" s="25" t="s">
        <v>809</v>
      </c>
      <c r="B28" s="25" t="s">
        <v>810</v>
      </c>
      <c r="C28" s="25" t="s">
        <v>811</v>
      </c>
    </row>
    <row r="29" customFormat="false" ht="18" hidden="false" customHeight="true" outlineLevel="0" collapsed="false">
      <c r="A29" s="25" t="s">
        <v>812</v>
      </c>
      <c r="B29" s="25" t="s">
        <v>813</v>
      </c>
      <c r="C29" s="25" t="s">
        <v>814</v>
      </c>
    </row>
    <row r="30" customFormat="false" ht="25.5" hidden="false" customHeight="true" outlineLevel="0" collapsed="false">
      <c r="A30" s="25" t="s">
        <v>815</v>
      </c>
      <c r="B30" s="25" t="s">
        <v>816</v>
      </c>
      <c r="C30" s="25" t="s">
        <v>817</v>
      </c>
    </row>
    <row r="31" customFormat="false" ht="25.5" hidden="false" customHeight="true" outlineLevel="0" collapsed="false">
      <c r="A31" s="25" t="s">
        <v>818</v>
      </c>
      <c r="B31" s="25" t="s">
        <v>819</v>
      </c>
      <c r="C31" s="25" t="s">
        <v>820</v>
      </c>
    </row>
    <row r="33" customFormat="false" ht="19.5" hidden="false" customHeight="true" outlineLevel="0" collapsed="false">
      <c r="A33" s="5" t="s">
        <v>821</v>
      </c>
      <c r="B33" s="5"/>
      <c r="C33" s="5"/>
    </row>
    <row r="34" customFormat="false" ht="21.75" hidden="false" customHeight="true" outlineLevel="0" collapsed="false">
      <c r="A34" s="13" t="s">
        <v>822</v>
      </c>
      <c r="B34" s="13" t="s">
        <v>803</v>
      </c>
      <c r="C34" s="13" t="s">
        <v>805</v>
      </c>
    </row>
    <row r="35" customFormat="false" ht="39" hidden="false" customHeight="true" outlineLevel="0" collapsed="false">
      <c r="A35" s="25" t="s">
        <v>823</v>
      </c>
      <c r="B35" s="25" t="s">
        <v>824</v>
      </c>
      <c r="C35" s="25" t="s">
        <v>825</v>
      </c>
    </row>
    <row r="36" customFormat="false" ht="25.5" hidden="false" customHeight="true" outlineLevel="0" collapsed="false">
      <c r="A36" s="25" t="s">
        <v>68</v>
      </c>
      <c r="B36" s="25" t="s">
        <v>826</v>
      </c>
      <c r="C36" s="25" t="s">
        <v>827</v>
      </c>
    </row>
    <row r="37" customFormat="false" ht="18" hidden="false" customHeight="true" outlineLevel="0" collapsed="false">
      <c r="A37" s="25" t="s">
        <v>66</v>
      </c>
      <c r="B37" s="25" t="s">
        <v>828</v>
      </c>
      <c r="C37" s="25" t="s">
        <v>829</v>
      </c>
    </row>
    <row r="38" customFormat="false" ht="39" hidden="false" customHeight="true" outlineLevel="0" collapsed="false">
      <c r="A38" s="25" t="s">
        <v>830</v>
      </c>
      <c r="B38" s="25" t="s">
        <v>831</v>
      </c>
      <c r="C38" s="25" t="s">
        <v>832</v>
      </c>
    </row>
    <row r="39" customFormat="false" ht="18" hidden="false" customHeight="true" outlineLevel="0" collapsed="false">
      <c r="A39" s="25" t="s">
        <v>70</v>
      </c>
      <c r="B39" s="25" t="s">
        <v>833</v>
      </c>
      <c r="C39" s="25" t="s">
        <v>834</v>
      </c>
    </row>
    <row r="40" customFormat="false" ht="25.5" hidden="false" customHeight="true" outlineLevel="0" collapsed="false">
      <c r="A40" s="25" t="s">
        <v>835</v>
      </c>
      <c r="B40" s="25" t="s">
        <v>836</v>
      </c>
      <c r="C40" s="25" t="s">
        <v>837</v>
      </c>
    </row>
    <row r="41" customFormat="false" ht="25.5" hidden="false" customHeight="true" outlineLevel="0" collapsed="false">
      <c r="A41" s="25" t="s">
        <v>838</v>
      </c>
      <c r="B41" s="25" t="s">
        <v>839</v>
      </c>
      <c r="C41" s="25" t="s">
        <v>732</v>
      </c>
    </row>
    <row r="43" customFormat="false" ht="19.5" hidden="false" customHeight="true" outlineLevel="0" collapsed="false">
      <c r="A43" s="5" t="s">
        <v>840</v>
      </c>
      <c r="B43" s="5"/>
      <c r="C43" s="5"/>
    </row>
    <row r="44" customFormat="false" ht="21.75" hidden="false" customHeight="true" outlineLevel="0" collapsed="false">
      <c r="A44" s="13" t="s">
        <v>841</v>
      </c>
      <c r="B44" s="13" t="s">
        <v>842</v>
      </c>
      <c r="C44" s="13" t="s">
        <v>71</v>
      </c>
    </row>
    <row r="45" customFormat="false" ht="25.5" hidden="false" customHeight="true" outlineLevel="0" collapsed="false">
      <c r="A45" s="25" t="s">
        <v>843</v>
      </c>
      <c r="B45" s="25" t="s">
        <v>844</v>
      </c>
      <c r="C45" s="25" t="s">
        <v>845</v>
      </c>
    </row>
    <row r="46" customFormat="false" ht="25.5" hidden="false" customHeight="true" outlineLevel="0" collapsed="false">
      <c r="A46" s="25" t="s">
        <v>846</v>
      </c>
      <c r="B46" s="25" t="s">
        <v>847</v>
      </c>
      <c r="C46" s="25" t="s">
        <v>848</v>
      </c>
    </row>
    <row r="47" customFormat="false" ht="25.5" hidden="false" customHeight="true" outlineLevel="0" collapsed="false">
      <c r="A47" s="25" t="s">
        <v>849</v>
      </c>
      <c r="B47" s="25" t="s">
        <v>850</v>
      </c>
      <c r="C47" s="25" t="s">
        <v>851</v>
      </c>
    </row>
    <row r="48" customFormat="false" ht="25.5" hidden="false" customHeight="true" outlineLevel="0" collapsed="false">
      <c r="A48" s="25" t="s">
        <v>852</v>
      </c>
      <c r="B48" s="25" t="s">
        <v>853</v>
      </c>
      <c r="C48" s="25" t="s">
        <v>854</v>
      </c>
    </row>
  </sheetData>
  <mergeCells count="11">
    <mergeCell ref="A1:C1"/>
    <mergeCell ref="A2:C2"/>
    <mergeCell ref="A4:C4"/>
    <mergeCell ref="A5:C5"/>
    <mergeCell ref="A6:C6"/>
    <mergeCell ref="A8:C8"/>
    <mergeCell ref="A14:C14"/>
    <mergeCell ref="A19:C19"/>
    <mergeCell ref="A25:C25"/>
    <mergeCell ref="A33:C33"/>
    <mergeCell ref="A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2026-07-02T00:39:36Z</dcterms:created>
  <dc:creator>openpyxl</dc:creator>
  <dc:description/>
  <dc:language>en-US</dc:language>
  <cp:lastModifiedBy/>
  <dcterms:modified xsi:type="dcterms:W3CDTF">2026-07-02T00:39:36Z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